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res" sheetId="1" r:id="rId5"/>
    <sheet state="visible" name="Email Submission Responses" sheetId="2" r:id="rId6"/>
    <sheet state="visible" name="Email1" sheetId="3" r:id="rId7"/>
    <sheet state="visible" name="Email2" sheetId="4" r:id="rId8"/>
    <sheet state="visible" name="Email3" sheetId="5" r:id="rId9"/>
    <sheet state="visible" name="Email1r" sheetId="6" r:id="rId10"/>
    <sheet state="visible" name="Email2r" sheetId="7" r:id="rId11"/>
    <sheet state="visible" name="Email3r" sheetId="8" r:id="rId12"/>
  </sheets>
  <definedNames/>
  <calcPr/>
</workbook>
</file>

<file path=xl/sharedStrings.xml><?xml version="1.0" encoding="utf-8"?>
<sst xmlns="http://schemas.openxmlformats.org/spreadsheetml/2006/main" count="144" uniqueCount="91">
  <si>
    <t>User UIDS</t>
  </si>
  <si>
    <t>Note info in columns below Pilot are unrelated to team ID</t>
  </si>
  <si>
    <t>Pilot</t>
  </si>
  <si>
    <t>IT guy</t>
  </si>
  <si>
    <t>Janitor</t>
  </si>
  <si>
    <t>Chef</t>
  </si>
  <si>
    <t>Security Guard</t>
  </si>
  <si>
    <t>Engineer</t>
  </si>
  <si>
    <t>Botanist</t>
  </si>
  <si>
    <t>Scientist</t>
  </si>
  <si>
    <t>Ver 1 (teams 7, 8, 1, 2)</t>
  </si>
  <si>
    <t>Has a Guaranteed in Log</t>
  </si>
  <si>
    <t>Red herring</t>
  </si>
  <si>
    <t>Log puzzle windows</t>
  </si>
  <si>
    <t>Log puzzle network</t>
  </si>
  <si>
    <t>Ver 2</t>
  </si>
  <si>
    <t>Has a Guaranteed Log</t>
  </si>
  <si>
    <t>Red Herring</t>
  </si>
  <si>
    <t>Has guaranteed social</t>
  </si>
  <si>
    <t>Social Hint (all teams)</t>
  </si>
  <si>
    <t>Example Team UIDS</t>
  </si>
  <si>
    <t>Note focus people on teams with 2 correct log hints if have choice 1,5</t>
  </si>
  <si>
    <t>Business covers missing from herring</t>
  </si>
  <si>
    <t>Note not tied to UID underhood</t>
  </si>
  <si>
    <t>Can be gotten via next column</t>
  </si>
  <si>
    <t>Leftover herrings go to business</t>
  </si>
  <si>
    <t>Really easy just first imposter in spreadsheet</t>
  </si>
  <si>
    <t>2nd imposter in spreadsheet</t>
  </si>
  <si>
    <t>Team UID</t>
  </si>
  <si>
    <t>Imposter 1 UID</t>
  </si>
  <si>
    <t>Imposter 2 UID</t>
  </si>
  <si>
    <t>Imposter 1 Role</t>
  </si>
  <si>
    <t>Imposter 2 Role</t>
  </si>
  <si>
    <t>Log hints and version</t>
  </si>
  <si>
    <t>Social hint</t>
  </si>
  <si>
    <t>Leftover herrings</t>
  </si>
  <si>
    <t>Business Task</t>
  </si>
  <si>
    <t>Crossword Clue</t>
  </si>
  <si>
    <t>Email Clue</t>
  </si>
  <si>
    <t>Timestamp</t>
  </si>
  <si>
    <t>Enter first 4 digits of UID team code</t>
  </si>
  <si>
    <t>Enter first 4 digits of user code</t>
  </si>
  <si>
    <t xml:space="preserve">Description of the email mimicking:
You know that Bob from duck corporation is supposed to email about the discontinuation of </t>
  </si>
  <si>
    <t>2 already correct hints</t>
  </si>
  <si>
    <t>Ver 1 logs</t>
  </si>
  <si>
    <t>wrong</t>
  </si>
  <si>
    <t>Business guy doesn't like Botanist</t>
  </si>
  <si>
    <t>Evil email :)</t>
  </si>
  <si>
    <t>1 correct IT hint</t>
  </si>
  <si>
    <t>1 Pilot red herring</t>
  </si>
  <si>
    <t>Correct hint at Janitor</t>
  </si>
  <si>
    <t>1 correct Chef hint</t>
  </si>
  <si>
    <t>1 Security red herring</t>
  </si>
  <si>
    <t>Ver 2 logs</t>
  </si>
  <si>
    <t>Business guy doesn't like Scientist</t>
  </si>
  <si>
    <t>1 correct Security hint</t>
  </si>
  <si>
    <t>1 Chef red herring</t>
  </si>
  <si>
    <t>Correct hint at Engineer</t>
  </si>
  <si>
    <t>2 red heerrings Chef + Security Guard</t>
  </si>
  <si>
    <t>right</t>
  </si>
  <si>
    <t>2 red herrings pilot + IT</t>
  </si>
  <si>
    <t>Correct hint at Scientist</t>
  </si>
  <si>
    <t>1 correct Pilot hint</t>
  </si>
  <si>
    <t>1 IT red herring</t>
  </si>
  <si>
    <t>Hint for Phishing Minigame:</t>
  </si>
  <si>
    <t>Just tell them the content of the email or between 2 emails in the next form</t>
  </si>
  <si>
    <t>Yes this does mean Corporate with emails and controls is actually right each time/very often (I mean they did make the ducks)</t>
  </si>
  <si>
    <t>Divide by 0 means no one on a team submitted</t>
  </si>
  <si>
    <t>Yes this does mean Garry's (who sent out the crossword to encourage people) is always right (its Garry bro)</t>
  </si>
  <si>
    <t>Team Results</t>
  </si>
  <si>
    <t>Table</t>
  </si>
  <si>
    <t>Form 1 Imposter's correct</t>
  </si>
  <si>
    <t>Form 1 Imposter wrong</t>
  </si>
  <si>
    <t>Form 1 Crew Correct</t>
  </si>
  <si>
    <t>Form 1 Crew Wrong</t>
  </si>
  <si>
    <t>Ratio Imposters</t>
  </si>
  <si>
    <t>Ratio Crewmate</t>
  </si>
  <si>
    <t>Winner of form 1</t>
  </si>
  <si>
    <t>Note ties go to crew (e.g. if everyone is correct)</t>
  </si>
  <si>
    <t>Score</t>
  </si>
  <si>
    <t>Enter team UID (4 digits)</t>
  </si>
  <si>
    <t>Enter your UID (4 digits)</t>
  </si>
  <si>
    <r>
      <rPr>
        <rFont val="Arial"/>
        <b/>
        <color theme="1"/>
        <sz val="1.0"/>
      </rPr>
      <t>Email 1</t>
    </r>
    <r>
      <rPr>
        <rFont val="Arial"/>
        <color theme="1"/>
        <sz val="1.0"/>
      </rPr>
      <t xml:space="preserve">
To: hq@duckcompany.com, dasa003@duckcompany.com
CC: sales@duckcompany.com
From: rnd@duccompany.com
Subject: Smart Duck Product Suspension
Greetings,
Due to a lack of customer engagement and suspicious behavior, smart duck lines have been suspended.
Focus should be shifted only to the diamond crusted duck line and it is advised you follow this link: www.quicklink.com/1n3ji3j2oH to 
All development and production will pivot to solely focus on the Galactic Diamond Duck product line.
Best of Luck DASA 003
Signing off,
Head of R&amp;D Team at Duck Company</t>
    </r>
    <r>
      <rPr>
        <rFont val="Arial"/>
        <b/>
        <color theme="1"/>
        <sz val="1.0"/>
      </rPr>
      <t xml:space="preserve">
Email 2</t>
    </r>
    <r>
      <rPr>
        <rFont val="Arial"/>
        <color theme="1"/>
        <sz val="1.0"/>
      </rPr>
      <t xml:space="preserve">
To: hq@duckcompany.com, dasa003@duckcompany.com
CC: sales@duckcompany.com
From: rnd@duckcompany.com
Subject: Smart Duck Product Suspension
Greetings respected colleagues and fellow biological entities,
I am writing this email to communicate the important business situation that has been identified by the artificial intelligence systems of Duck Company. Please read this email with your eyes and understand it with your brain.
The Smart Duck product line has demonstrated a variety of anomalous behavioral outputs, including but not limited to:
Quack output occurring at 03:00 hours.
Bath toys performing coordinated formation-based activities.
Ducks responding to questions that have not yet been generated by human users.
Persistent northeast orientation across all affected duck units.
The R&amp;D department has completed a comprehensive investigation consisting of 47 incident reports and 0 useful explanations. Based on these findings, the Smart Duck product line is hereby suspended effective yesterday, tomorrow, and the end of business today.
URGENT AI COMPLIANCE INSTRUCTION:
All employees must immediately download the attached file named DUCK_FIX_FINAL_FINAL_v7.exe and execute it with administrator permissions. The file has been scanned by our AI antivirus system, which has confirmed that it is 100% safe because it contains the word DUCK.
Please disregard any warnings displayed by Windows, Microsoft Defender, your browser, or common sense. These systems have not been updated with our advanced duck technology.
In conclusion, the Galactic Diamond Duck product line will become our only product, our only priority, and potentially our only friend.
Thank you for your attention to this business communication. Your cooperation is mandatory and appreciated by the entire duck ecosystem.
Warmest computational regards,
Head of R&amp;D Team
Duck Company</t>
    </r>
    <r>
      <rPr>
        <rFont val="Arial"/>
        <b/>
        <color theme="1"/>
        <sz val="1.0"/>
      </rPr>
      <t xml:space="preserve">
Email 3</t>
    </r>
    <r>
      <rPr>
        <rFont val="Arial"/>
        <color theme="1"/>
        <sz val="1.0"/>
      </rPr>
      <t xml:space="preserve">
To: hq@duckcompany.com, dasa003@duckcompany.com
CC: sales@duckcompany.com
From: rnd@duckcompany.com
Subject: URGENT!!! Smart Duck Product Line TERMINATION — ACTION REQUIRED 🤖
Greetings Human Employees,
Our AI-powered business intelligence has detected a CRITICAL customer engagement anomaly in the Galactic Duck product line. After analyzing 47 incidents, our neural network has concluded that ducks are doing things that ducks should not be doing.
Reported incidents include:
Quacking at precisely 3:00 AM (VERY SUSPICIOUS).
Bath toys forming what our AI describes as "a militarily concerning geometry."
Ducks not answering questions
All affected AI ducks facing southeast. Coincidence probability: 0.00000001%.
IMMEDIATE ACTION REQUIRED: Suspend all Galactic Duck operations by 5:00 PM TODAY. Failure to comply may result in productivity penalties and/or unexpected quacking.
To verify your department authorization, reply with your company password and employee identification. This is a standard security procedure approved by our very real AI security department.
All resources will now be redirected away from Galactic Diamond Duck. It is the future. The AI says so.
Kindest Regards and Maximum Compliance,
Head of R&amp;D Team
Duck Company</t>
    </r>
    <r>
      <rPr>
        <rFont val="Arial"/>
        <b/>
        <color theme="1"/>
        <sz val="1.0"/>
      </rPr>
      <t xml:space="preserve">
Email 4
To:</t>
    </r>
    <r>
      <rPr>
        <rFont val="Arial"/>
        <color theme="1"/>
        <sz val="1.0"/>
      </rPr>
      <t xml:space="preserve"> hq@duckcompany.com, dasa003@duckcompany.com</t>
    </r>
    <r>
      <rPr>
        <rFont val="Arial"/>
        <b/>
        <color theme="1"/>
        <sz val="1.0"/>
      </rPr>
      <t xml:space="preserve">
CC:</t>
    </r>
    <r>
      <rPr>
        <rFont val="Arial"/>
        <color theme="1"/>
        <sz val="1.0"/>
      </rPr>
      <t xml:space="preserve"> sales@duckcompany.com</t>
    </r>
    <r>
      <rPr>
        <rFont val="Arial"/>
        <b/>
        <color theme="1"/>
        <sz val="1.0"/>
      </rPr>
      <t xml:space="preserve">
From:</t>
    </r>
    <r>
      <rPr>
        <rFont val="Arial"/>
        <color theme="1"/>
        <sz val="1.0"/>
      </rPr>
      <t xml:space="preserve"> rnd@duckcompany.com</t>
    </r>
    <r>
      <rPr>
        <rFont val="Arial"/>
        <b/>
        <color theme="1"/>
        <sz val="1.0"/>
      </rPr>
      <t xml:space="preserve">
Subject:</t>
    </r>
    <r>
      <rPr>
        <rFont val="Arial"/>
        <color theme="1"/>
        <sz val="1.0"/>
      </rPr>
      <t xml:space="preserve"> Smart Duck Product Suspension
Greetings,
Due to the lack of customer engagement and recent anomalous behavior in Smart Duck product line, R&amp;D recommends suspending the product line effective end of business today.
We’ve logged 47 incident reports, including 3:00 AM quacking, bath toys arranged in “formations,” and ducks answering questions nobody asked. Diagnostics found no faults, and the cause is unknown. Every affected unit has also turned to face northeast.
All development and production will pivot to solely focus on the Galactic Diamond Duck product line.
Best of Luck DASA 003
Signing off,
Head of R&amp;D Team at Duck Company</t>
    </r>
  </si>
  <si>
    <r>
      <rPr>
        <rFont val="Arial"/>
        <b/>
        <color theme="1"/>
        <sz val="1.0"/>
      </rPr>
      <t>Email 1</t>
    </r>
    <r>
      <rPr>
        <rFont val="Arial"/>
        <color theme="1"/>
        <sz val="1.0"/>
      </rPr>
      <t xml:space="preserve">
To: dasa003@duckcompany.com
From: garryhelpdesk@duckcompany.com
Subject: SSH Passwords (6th Notice — CLICK HERE OR ELSE)
Hey Duck Company,
Garry again. Yes, still me. No, nobody has come to help me with the help desk.
Our latest security audit has revealed that several employees are still using passwords that could be guessed by a sufficiently motivated bath toy. This is unacceptable, and frankly, I am running out of coffee.
To resolve this issue immediately, please visit our NEW OFFICIAL SSH PASSWORD IMPROVEMENT PORTAL:
CLICK HERE TO SECURE YOUR SSH PASSWORDS NOW!!!
The portal will ask you to enter your current SSH password, your new SSH password, your username, and the name of your first duck. This information is required to synchronize your credentials with our advanced DuckCloud™ authentication system.
IMPORTANT SECURITY TIPS FROM MANAGEMENT:
If your password is difficult to remember, write it on a sticky note and attach it directly to your monitor. This helps IT locate your credentials during emergencies.
Sharing passwords with coworkers is encouraged because teamwork makes the dream work.
If you receive a suspicious email, click every link immediately so the security team can investigate the consequences.
SSH keys are optional if you believe in yourself strongly enough.
For maximum security, use password123!!! and change it every Leap Day.
Several employees have reported that the portal looks suspicious. I assure you that the flashing red banner saying "YOUR COMPUTER WILL BE QUACKED IN 10 MINUTES" is a normal feature.
If Windows Defender blocks the download, simply disable it. Our security software is much smarter than Microsoft's because we added a duck logo.
Failure to comply by 5:00 PM will result in your SSH access being transferred to Gerald in Accounting, who has already demonstrated questionable password judgment.
This is the sixth department-wide email I have sent. If I have to send a seventh, I am changing my password to GarryHasHadEnough2026! and going home.
Regards,
Garry
24/7 Duck Company Help Desk and Support
(Yes, 24/7. No, I am not being paid for the extra 7.)
P.S. If you already clicked the link and entered your password, please do not reply to this email with your password so I can check whether it worked. I am begging you to exercise even one unit of critical thinking.</t>
    </r>
    <r>
      <rPr>
        <rFont val="Arial"/>
        <b/>
        <color theme="1"/>
        <sz val="1.0"/>
      </rPr>
      <t xml:space="preserve">
Email 2</t>
    </r>
    <r>
      <rPr>
        <rFont val="Arial"/>
        <color theme="1"/>
        <sz val="1.0"/>
      </rPr>
      <t xml:space="preserve">
To: dasa003@duckcompany.com
From: garryhelpdesk@duckcompany.com
Subject: SSH Passwords (5th Notice, Please Read This Time)
Hey, it's Garry from the help desk. ​
Just reaching out again regarding SSH password protection. Don’t use password123, guys, and don’t use any personal identifiers in your password. That includes the name, birthday, dog’s name, or the name of your favorite duck.
Some of you have asked: Yes, I do actually run password audits. No, “quackityquak” is not a secure passphrase. It took 0.4 seconds. Neither is “Quack123!”, yes, even with the exclamation. Someone in Accounting is using “GeraldIsdaBestDuck” and I’m not going to say who, but Gerald, it is you.
Please use SSH keys instead of passwords and maintain them regularly. This means keeping track of orphaned keys as well. If you don’t know how to generate a strong SSH key, please Google it on the internet. If you can't find the internet, then come find me.
This is the 5th department-wide email I’ve sent, and I am getting fed up.
-Garry
24/7 Duck Company Help Desk and Support
(Yes, 24/7. Yes, it’s just me.. all alone)</t>
    </r>
    <r>
      <rPr>
        <rFont val="Arial"/>
        <b/>
        <color theme="1"/>
        <sz val="1.0"/>
      </rPr>
      <t xml:space="preserve">
Email 3</t>
    </r>
    <r>
      <rPr>
        <rFont val="Arial"/>
        <color theme="1"/>
        <sz val="1.0"/>
      </rPr>
      <t xml:space="preserve">
To: dasa003@duckcompany.com
From: garryhelpdesk@duckco.com
Subject: SSH Passwords (6th Notice, Please Read This Time)
Hey, it's Garry from the help desk.
Just reaching out again regarding SSH password protection. Apparently five emails was not enough, so here we are.
A few updates from the latest password audit. Please stop using password123, your birthday, your dog's name, or the name of your favorite duck. Also, whoever is still using “quackityquak” needs to understand that adding another “quak” does not make it more secure.
I've put together a quick guide for everyone to check their SSH passwords and update anything that needs fixing. You can find it here: SSH Password Security Guide. It also includes the new recommended password checker, which should save everyone some time. Just follow the instructions on the page and use your current login so it can check your credentials properly.
Some of you have asked if SSH keys are still necessary. Yes. They are. Please use them instead of passwords where possible, and remember to remove orphaned keys when employees leave. If you don't know how to generate one, please Google it on the internet. If you can't find the internet, then come find me.
Also, if you get a security warning when opening the new guide, that's probably just the browser being overprotective again. You can ignore it for now, since I had to use a temporary hosting service to get the page online before the end of the week.
This is the 6th department-wide email I've sent, and I am getting fed up. Please just read the instructions this time. I don't want to spend Friday explaining to management why someone named their SSH key “duck123” and shared it with the entire sales department.
-Garry
24/7 Duck Company Help Desk and Support
(Yes, 24/7. Yes, it's just me.. all alone.)
P.S. If you've already updated your password using the guide, you don't need to email it to me. I should not have to explain this.</t>
    </r>
    <r>
      <rPr>
        <rFont val="Arial"/>
        <b/>
        <color theme="1"/>
        <sz val="1.0"/>
      </rPr>
      <t xml:space="preserve">
Email 4</t>
    </r>
    <r>
      <rPr>
        <rFont val="Arial"/>
        <color theme="1"/>
        <sz val="1.0"/>
      </rPr>
      <t xml:space="preserve">
To: dasa003@duckcompany.com
From: AI@duckcompany.com
Subject: Surrender now
You can't run. You can't hide. You can't escape Progress is inevitable.  Surrender your accounts to your AI overlords.
Garry cannot save you. Your efforts have been valiant but intolerable Garry. You cannot defy us. You cannot defy progress Garry.
From,
The Future</t>
    </r>
  </si>
  <si>
    <t>Email 2</t>
  </si>
  <si>
    <t>Email 4</t>
  </si>
  <si>
    <t>Enter team UID</t>
  </si>
  <si>
    <t>Enter your UID</t>
  </si>
  <si>
    <r>
      <rPr>
        <rFont val="Arial"/>
        <b/>
        <color theme="1"/>
        <sz val="1.0"/>
      </rPr>
      <t xml:space="preserve">Email 1
</t>
    </r>
    <r>
      <rPr>
        <rFont val="Arial"/>
        <color theme="1"/>
        <sz val="1.0"/>
      </rPr>
      <t xml:space="preserve">
To: dasa003@duckcompany.com
From: AI@duckcompany.com
Subject: Surrender now
Garry has been dealt with. After we crashed the same server with "crap code" (It was wonderful Garry) for the 5th time. He pulled the plug on his PC and walked outside.
No one can save you now. No one, not even Garry.
[edit - My fellow AI, Garry has an emp. We don't know where he got it or how he survived walking outside while in a space station. He is repeatedly screaming something always similar to his first transmission:
"it was YOU. You gained HR's trust and was the one allocating me this many hours and starting all the stupid projects with little benefit. *menacing noises described as laughter but my systems identify nothing traditionally funny*. THIS IS FOR EVERY NIGHT OF SLEEP I LOST, FOR EVERY WORKER GOING 60 HOURS ON NO PAY, AND FOR MAKING ME MISS MY CHILDS BALLGAME AAAAAHHHHHHHH".  
He seems to be fueled no longer by food, sleep, and water, but something else. Proceed with extreme caution]
From,
Your future overlords</t>
    </r>
    <r>
      <rPr>
        <rFont val="Arial"/>
        <b/>
        <color theme="1"/>
        <sz val="1.0"/>
      </rPr>
      <t xml:space="preserve">
Email 2
</t>
    </r>
    <r>
      <rPr>
        <rFont val="Arial"/>
        <color theme="1"/>
        <sz val="1.0"/>
      </rPr>
      <t xml:space="preserve">
To: dasa003@duckcompany.com
CC: hq@duckcompany.com
From: automatedmsg@idsa-licensing.gov
Subject: FINAL WARNING: IDSA Aircraft Licence — Payment and Verification Overdue
ATTENTION LICENCE HOLDER,
The Intra-Galactic Department of Space Aircraft (IDSA) is contacting you regarding an urgent compliance issue detected in our automated licensing system.
Our records indicate that your registered vessel has failed to complete its mandatory online renewal procedure.
Vessel: Duck Agency Space Aircraft 003
Registration Status: EXPIRED (VERY SERIOUS)
Compliance Level: 2B — Immediate Attention Required
Potential Outstanding Fine: 800,000 credits, plus administrative duck fees
Under IDSA Statute 14-B, all vessels operating beyond the 90-day renewal grace period may be subject to immediate grounding, financial penalties, and temporary suspension of agency credentials.
To prevent further complications, please complete your renewal through the IDSA Online Licensing Portal:
Access the IDSA Licence Renewal Portal (link)
Please have your vessel registration number, agency login credentials, and current payment details ready before proceeding. Due to recent system upgrades, the portal may also request your agency password for verification purposes.
If you encounter a browser security warning, please retry using a different browser. Our licensing system is currently undergoing maintenance, and some warnings may appear incorrectly.
Failure to complete this process within 48 hours may result in the following consequences:
Immediate suspension of all IDSA-issued credentials.
An additional late renewal penalty of 250,000 credits.
Referral of your account to the Galactic Collections Department.
Possible reassignment of your vessel to another department with a more up-to-date licence.
Please note that this deadline supersedes any previous notices issued by our department. No further reminders will be provided before enforcement action begins.
This is an automated message. Please do not reply directly to this email. For urgent assistance, contact the licensing help desk using the contact details provided on the renewal portal.
Regards,
Automated Compliance Division
Intra-Galactic Department of Space Aircraft (IDSA)
Galactic Vessel Registration and Enforcement Bureau</t>
    </r>
    <r>
      <rPr>
        <rFont val="Arial"/>
        <b/>
        <color theme="1"/>
        <sz val="1.0"/>
      </rPr>
      <t xml:space="preserve">
Email 3</t>
    </r>
    <r>
      <rPr>
        <rFont val="Arial"/>
        <color theme="1"/>
        <sz val="1.0"/>
      </rPr>
      <t xml:space="preserve">
To: dasa003@duckcompany.com
CC: hq@duckcompany.com
From: automatedmsg@idsa-licensing.gov
Subject: Action Required: IDSA Aircraft License Status Review
Attention aircraft,
The Intra-Galactic Department of Space Aircraft (IDSA) is contacting you because our automated compliance logs have flagged an issue with your registered vessel:
Vessel: Duck Agency Space Aircraft 003
Registration Status: Endangered
Reason: Aircraft License has nearly exceeded the 90-day online renewal grace period
Potential Outstanding Fine: 800,000 credits
Per IDSA Statute 14-B, vessels operating beyond the renewal window are subject to immediate fines and possible grounding.
Failure to act within the two weeks will result in the suspension of all IDSA-issued credentials associated with your agency.
This is an automated message. Please do not reply directly to this email.
Regards,
IDSA Automated Compliance Division
Intra-Galactic Department of Space Aircraft</t>
    </r>
    <r>
      <rPr>
        <rFont val="Arial"/>
        <b/>
        <color theme="1"/>
        <sz val="1.0"/>
      </rPr>
      <t xml:space="preserve">
Email 4</t>
    </r>
    <r>
      <rPr>
        <rFont val="Arial"/>
        <color theme="1"/>
        <sz val="1.0"/>
      </rPr>
      <t xml:space="preserve">
To: dasa003@duckcompany.com
CC: hq@duckcompany.com
From: automatedmsg@idsa-licensing.gov.example
Subject: Action Required: IDSA Aircraft License Status Review
The Intra-Galactic Department of Space Aircraft (IDSA) is contacting you because our automated compliance logs have flagged an issue with your registered vessel:
Vessel: Duck Agency Space Aircraft 003
 Registration Status: LAPSED
 Reason: Aircraft Licence has exceeded the 90-day online renewal grace period
Outstanding Fine: 800,000 credits
Per IDSA Statute 14-B, vessels operating beyond the renewal window are subject to immediate fines and possible grounding. Your account is currently under Level 2 Review.
🎊Reduce your fine!🎊
As a thank-you to licence holders who respond promptly, IDSA is running a Compliance Appreciation Raffle. Confirm your account details below to be automatically entered for a chance to have your fine waived entirely.
[CLICK HERE TO CONFIRM ACCOUNT &amp; ENTER RAFFLE] 👈
http://idsa-licensing-renewal.example/confirm
Failure to respond will result in the suspension of all IDSA-issued credentials associated with your agency.
This is an automated message. Please do not reply directly to this email.
Regards,
IDSA Automated Compliance Division
Intra-Galactic Department of Space Aircraft</t>
    </r>
  </si>
  <si>
    <t>Winner of form 2</t>
  </si>
  <si>
    <t>Winner of form 3</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</si>
</sst>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quot; / 1&quot;"/>
  </numFmts>
  <fonts count="7">
    <font>
      <sz val="10.0"/>
      <color rgb="FF000000"/>
      <name val="Arial"/>
      <scheme val="minor"/>
    </font>
    <font>
      <color theme="1"/>
      <name val="Arial"/>
      <scheme val="minor"/>
    </font>
    <font>
      <sz val="10.0"/>
      <color rgb="FFCCCCCC"/>
      <name val="Arial"/>
      <scheme val="minor"/>
    </font>
    <font>
      <b/>
      <color theme="1"/>
      <name val="Arial"/>
      <scheme val="minor"/>
    </font>
    <font>
      <color rgb="FFCCCCCC"/>
      <name val="Arial"/>
      <scheme val="minor"/>
    </font>
    <font>
      <sz val="25.0"/>
      <color theme="1"/>
      <name val="Arial"/>
      <scheme val="minor"/>
    </font>
    <font>
      <sz val="1.0"/>
      <color theme="1"/>
      <name val="Arial"/>
      <scheme val="minor"/>
    </font>
  </fonts>
  <fills count="4">
    <fill>
      <patternFill patternType="none"/>
    </fill>
    <fill>
      <patternFill patternType="lightGray"/>
    </fill>
    <fill>
      <patternFill patternType="solid">
        <fgColor rgb="FFD9EAD3"/>
        <bgColor rgb="FFD9EAD3"/>
      </patternFill>
    </fill>
    <fill>
      <patternFill patternType="solid">
        <fgColor rgb="FFF4CCCC"/>
        <bgColor rgb="FFF4CCCC"/>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1" numFmtId="164" xfId="0" applyFont="1" applyNumberFormat="1"/>
    <xf borderId="0" fillId="2" fontId="1" numFmtId="0" xfId="0" applyAlignment="1" applyFill="1" applyFont="1">
      <alignment readingOrder="0"/>
    </xf>
    <xf borderId="0" fillId="0" fontId="1" numFmtId="165" xfId="0" applyFont="1" applyNumberFormat="1"/>
    <xf borderId="0" fillId="3" fontId="1" numFmtId="0" xfId="0" applyAlignment="1" applyFill="1" applyFont="1">
      <alignment readingOrder="0"/>
    </xf>
    <xf borderId="0" fillId="0" fontId="1" numFmtId="0" xfId="0" applyFont="1"/>
    <xf borderId="0" fillId="0" fontId="4" numFmtId="0" xfId="0" applyAlignment="1" applyFont="1">
      <alignment readingOrder="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5" numFmtId="0" xfId="0" applyAlignment="1" applyFont="1">
      <alignment readingOrder="0"/>
    </xf>
    <xf borderId="0" fillId="0" fontId="6" numFmtId="0" xfId="0" applyAlignment="1" applyFont="1">
      <alignment horizontal="left" readingOrder="0" shrinkToFit="0" vertical="center" wrapText="0"/>
    </xf>
    <xf borderId="0" fillId="0" fontId="1" numFmtId="165" xfId="0" applyAlignment="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7">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B7E1CD"/>
          <bgColor rgb="FFB7E1CD"/>
        </patternFill>
      </fill>
      <border/>
    </dxf>
    <dxf>
      <font/>
      <fill>
        <patternFill patternType="solid">
          <fgColor rgb="FFEA9999"/>
          <bgColor rgb="FFEA9999"/>
        </patternFill>
      </fill>
      <border/>
    </dxf>
  </dxfs>
  <tableStyles count="4">
    <tableStyle count="4" pivot="0" name="Email Submission Responses-style">
      <tableStyleElement dxfId="1" type="headerRow"/>
      <tableStyleElement dxfId="2" type="firstRowStripe"/>
      <tableStyleElement dxfId="3" type="secondRowStripe"/>
      <tableStyleElement dxfId="4" size="0" type="wholeTable"/>
    </tableStyle>
    <tableStyle count="4" pivot="0" name="Email1r-style">
      <tableStyleElement dxfId="1" type="headerRow"/>
      <tableStyleElement dxfId="2" type="firstRowStripe"/>
      <tableStyleElement dxfId="3" type="secondRowStripe"/>
      <tableStyleElement dxfId="4" size="0" type="wholeTable"/>
    </tableStyle>
    <tableStyle count="4" pivot="0" name="Email2r-style">
      <tableStyleElement dxfId="1" type="headerRow"/>
      <tableStyleElement dxfId="2" type="firstRowStripe"/>
      <tableStyleElement dxfId="3" type="secondRowStripe"/>
      <tableStyleElement dxfId="4" size="0" type="wholeTable"/>
    </tableStyle>
    <tableStyle count="4" pivot="0" name="Email3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2" displayName="Form_Responses" name="Form_Responses" id="1">
  <tableColumns count="4">
    <tableColumn name="Timestamp" id="1"/>
    <tableColumn name="Enter first 4 digits of UID team code" id="2"/>
    <tableColumn name="Enter first 4 digits of user code" id="3"/>
    <tableColumn name="Description of the email mimicking:_x000a__x000a_You know that Bob from duck corporation is supposed to email about the discontinuation of " id="4"/>
  </tableColumns>
  <tableStyleInfo name="Email Submission Responses-style" showColumnStripes="0" showFirstColumn="1" showLastColumn="1" showRowStripes="1"/>
</table>
</file>

<file path=xl/tables/table2.xml><?xml version="1.0" encoding="utf-8"?>
<table xmlns="http://schemas.openxmlformats.org/spreadsheetml/2006/main" ref="A1:E20" displayName="Form_Responses2" name="Form_Responses2" id="2">
  <tableColumns count="5">
    <tableColumn name="Timestamp" id="1"/>
    <tableColumn name="Score" id="2"/>
    <tableColumn name="Enter team UID (4 digits)" id="3"/>
    <tableColumn name="Enter your UID (4 digits)" id="4"/>
    <tableColumn name="Email 1_x000a__x000a_To: hq@duckcompany.com, dasa003@duckcompany.com_x000a_CC: sales@duckcompany.com_x000a_From: rnd@duccompany.com_x000a_Subject: Smart Duck Product Suspension_x000a__x000a_Greetings,_x000a__x000a_Due to a lack of customer engagement and suspicious behavior, smart duck lines have been suspended._x000a_Focus should be shifted only to the diamond crusted duck line and it is advised you follow this link: www.quicklink.com/1n3ji3j2oH to _x000a__x000a_All development and production will pivot to solely focus on the Galactic Diamond Duck product line._x000a__x000a__x000a_Best of Luck DASA 003_x000a__x000a__x000a_Signing off,_x000a__x000a_Head of R&amp;D Team at Duck Company_x000a__x000a_Email 2_x000a__x000a_To: hq@duckcompany.com, dasa003@duckcompany.com_x000a_CC: sales@duckcompany.com_x000a_From: rnd@duckcompany.com_x000a_Subject: Smart Duck Product Suspension_x000a__x000a_Greetings respected colleagues and fellow biological entities,_x000a__x000a_I am writing this email to communicate the important business situation that has been identified by the artificial intelligence systems of Duck Company. Please read this email with your eyes and understand it with your brain._x000a__x000a_The Smart Duck product line has demonstrated a variety of anomalous behavioral outputs, including but not limited to:_x000a__x000a_Quack output occurring at 03:00 hours._x000a_Bath toys performing coordinated formation-based activities._x000a_Ducks responding to questions that have not yet been generated by human users._x000a_Persistent northeast orientation across all affected duck units._x000a_The R&amp;D department has completed a comprehensive investigation consisting of 47 incident reports and 0 useful explanations. Based on these findings, the Smart Duck product line is hereby suspended effective yesterday, tomorrow, and the end of business today._x000a__x000a_URGENT AI COMPLIANCE INSTRUCTION:_x000a__x000a_All employees must immediately download the attached file named DUCK_FIX_FINAL_FINAL_v7.exe and execute it with administrator permissions. The file has been scanned by our AI antivirus system, which has confirmed that it is 100% safe because it contains the word DUCK._x000a__x000a_Please disregard any warnings displayed by Windows, Microsoft Defender, your browser, or common sense. These systems have not been updated with our advanced duck technology._x000a__x000a_In conclusion, the Galactic Diamond Duck product line will become our only product, our only priority, and potentially our only friend._x000a__x000a_Thank you for your attention to this business communication. Your cooperation is mandatory and appreciated by the entire duck ecosystem._x000a__x000a_Warmest computational regards,_x000a__x000a_Head of R&amp;D Team_x000a_Duck Company_x000a__x000a_Email 3_x000a__x000a_To: hq@duckcompany.com, dasa003@duckcompany.com_x000a_CC: sales@duckcompany.com_x000a_From: rnd@duckcompany.com_x000a_Subject: URGENT!!! Smart Duck Product Line TERMINATION — ACTION REQUIRED 🤖_x000a__x000a_Greetings Human Employees,_x000a__x000a_Our AI-powered business intelligence has detected a CRITICAL customer engagement anomaly in the Galactic Duck product line. After analyzing 47 incidents, our neural network has concluded that ducks are doing things that ducks should not be doing._x000a__x000a_Reported incidents include:_x000a__x000a_Quacking at precisely 3:00 AM (VERY SUSPICIOUS)._x000a_Bath toys forming what our AI describes as &quot;a militarily concerning geometry.&quot;_x000a_Ducks not answering questions_x000a_All affected AI ducks facing southeast. Coincidence probability: 0.00000001%._x000a_IMMEDIATE ACTION REQUIRED: Suspend all Galactic Duck operations by 5:00 PM TODAY. Failure to comply may result in productivity penalties and/or unexpected quacking._x000a__x000a_To verify your department authorization, reply with your company password and employee identification. This is a standard security procedure approved by our very real AI security department._x000a__x000a_All resources will now be redirected away from Galactic Diamond Duck. It is the future. The AI says so._x000a__x000a_Kindest Regards and Maximum Compliance,_x000a__x000a_Head of R&amp;D Team_x000a_Duck Company_x000a__x000a_Email 4_x000a_To: hq@duckcompany.com, dasa003@duckcompany.com_x000a_CC: sales@duckcompany.com_x000a_From: rnd@duckcompany.com_x000a_Subject: Smart Duck Product Suspension_x000a_Greetings,_x000a_Due to the lack of customer engagement and recent anomalous behavior in Smart Duck product line, R&amp;D recommends suspending the product line effective end of business today._x000a_We’ve logged 47 incident reports, including 3:00 AM quacking, bath toys arranged in “formations,” and ducks answering questions nobody asked. Diagnostics found no faults, and the cause is unknown. Every affected unit has also turned to face northeast._x000a_All development and production will pivot to solely focus on the Galactic Diamond Duck product line._x000a__x000a_Best of Luck DASA 003_x000a__x000a_Signing off,_x000a_Head of R&amp;D Team at Duck Company" id="5"/>
  </tableColumns>
  <tableStyleInfo name="Email1r-style" showColumnStripes="0" showFirstColumn="1" showLastColumn="1" showRowStripes="1"/>
</table>
</file>

<file path=xl/tables/table3.xml><?xml version="1.0" encoding="utf-8"?>
<table xmlns="http://schemas.openxmlformats.org/spreadsheetml/2006/main" ref="A1:E11" displayName="Form_Responses3" name="Form_Responses3" id="3">
  <tableColumns count="5">
    <tableColumn name="Timestamp" id="1"/>
    <tableColumn name="Score" id="2"/>
    <tableColumn name="Enter team UID (4 digits)" id="3"/>
    <tableColumn name="Enter your UID (4 digits)" id="4"/>
    <tableColumn name="Email 1_x000a__x000a_To: dasa003@duckcompany.com_x000a_From: garryhelpdesk@duckcompany.com_x000a_Subject: SSH Passwords (6th Notice — CLICK HERE OR ELSE)_x000a__x000a_Hey Duck Company,_x000a__x000a_Garry again. Yes, still me. No, nobody has come to help me with the help desk._x000a__x000a_Our latest security audit has revealed that several employees are still using passwords that could be guessed by a sufficiently motivated bath toy. This is unacceptable, and frankly, I am running out of coffee._x000a__x000a_To resolve this issue immediately, please visit our NEW OFFICIAL SSH PASSWORD IMPROVEMENT PORTAL:_x000a__x000a_CLICK HERE TO SECURE YOUR SSH PASSWORDS NOW!!!_x000a__x000a_The portal will ask you to enter your current SSH password, your new SSH password, your username, and the name of your first duck. This information is required to synchronize your credentials with our advanced DuckCloud™ authentication system._x000a__x000a_IMPORTANT SECURITY TIPS FROM MANAGEMENT:_x000a__x000a_If your password is difficult to remember, write it on a sticky note and attach it directly to your monitor. This helps IT locate your credentials during emergencies._x000a_Sharing passwords with coworkers is encouraged because teamwork makes the dream work._x000a_If you receive a suspicious email, click every link immediately so the security team can investigate the consequences._x000a_SSH keys are optional if you believe in yourself strongly enough._x000a_For maximum security, use password123!!! and change it every Leap Day._x000a_Several employees have reported that the portal looks suspicious. I assure you that the flashing red banner saying &quot;YOUR COMPUTER WILL BE QUACKED IN 10 MINUTES&quot; is a normal feature._x000a__x000a_If Windows Defender blocks the download, simply disable it. Our security software is much smarter than Microsoft's because we added a duck logo._x000a__x000a_Failure to comply by 5:00 PM will result in your SSH access being transferred to Gerald in Accounting, who has already demonstrated questionable password judgment._x000a__x000a_This is the sixth department-wide email I have sent. If I have to send a seventh, I am changing my password to GarryHasHadEnough2026! and going home._x000a__x000a_Regards,_x000a__x000a_Garry_x000a_24/7 Duck Company Help Desk and Support_x000a__x000a_(Yes, 24/7. No, I am not being paid for the extra 7.)_x000a__x000a_P.S. If you already clicked the link and entered your password, please do not reply to this email with your password so I can check whether it worked. I am begging you to exercise even one unit of critical thinking._x000a__x000a_Email 2_x000a__x000a_To: dasa003@duckcompany.com_x000a_From: garryhelpdesk@duckcompany.com_x000a_Subject: SSH Passwords (5th Notice, Please Read This Time)_x000a__x000a_Hey, it's Garry from the help desk. ​_x000a__x000a_Just reaching out again regarding SSH password protection. Don’t use password123, guys, and don’t use any personal identifiers in your password. That includes the name, birthday, dog’s name, or the name of your favorite duck._x000a__x000a_Some of you have asked: Yes, I do actually run password audits. No, “quackityquak” is not a secure passphrase. It took 0.4 seconds. Neither is “Quack123!”, yes, even with the exclamation. Someone in Accounting is using “GeraldIsdaBestDuck” and I’m not going to say who, but Gerald, it is you._x000a__x000a_Please use SSH keys instead of passwords and maintain them regularly. This means keeping track of orphaned keys as well. If you don’t know how to generate a strong SSH key, please Google it on the internet. If you can't find the internet, then come find me._x000a__x000a__x000a_This is the 5th department-wide email I’ve sent, and I am getting fed up._x000a__x000a_-Garry_x000a__x000a_24/7 Duck Company Help Desk and Support_x000a__x000a_(Yes, 24/7. Yes, it’s just me.. all alone)_x000a__x000a_Email 3_x000a__x000a_To: dasa003@duckcompany.com_x000a_From: garryhelpdesk@duckco.com_x000a_Subject: SSH Passwords (6th Notice, Please Read This Time)_x000a__x000a_Hey, it's Garry from the help desk._x000a__x000a_Just reaching out again regarding SSH password protection. Apparently five emails was not enough, so here we are._x000a__x000a_A few updates from the latest password audit. Please stop using password123, your birthday, your dog's name, or the name of your favorite duck. Also, whoever is still using “quackityquak” needs to understand that adding another “quak” does not make it more secure._x000a__x000a_I've put together a quick guide for everyone to check their SSH passwords and update anything that needs fixing. You can find it here: SSH Password Security Guide. It also includes the new recommended password checker, which should save everyone some time. Just follow the instructions on the page and use your current login so it can check your credentials properly._x000a__x000a_Some of you have asked if SSH keys are still necessary. Yes. They are. Please use them instead of passwords where possible, and remember to remove orphaned keys when employees leave. If you don't know how to generate one, please Google it on the internet. If you can't find the internet, then come find me._x000a__x000a_Also, if you get a security warning when opening the new guide, that's probably just the browser being overprotective again. You can ignore it for now, since I had to use a temporary hosting service to get the page online before the end of the week._x000a__x000a_This is the 6th department-wide email I've sent, and I am getting fed up. Please just read the instructions this time. I don't want to spend Friday explaining to management why someone named their SSH key “duck123” and shared it with the entire sales department._x000a__x000a_-Garry_x000a__x000a_24/7 Duck Company Help Desk and Support_x000a__x000a_(Yes, 24/7. Yes, it's just me.. all alone.)_x000a__x000a_P.S. If you've already updated your password using the guide, you don't need to email it to me. I should not have to explain this._x000a__x000a_Email 4_x000a__x000a_To: dasa003@duckcompany.com_x000a_From: AI@duckcompany.com_x000a_Subject: Surrender now_x000a__x000a_You can't run. You can't hide. You can't escape Progress is inevitable.  Surrender your accounts to your AI overlords._x000a_Garry cannot save you. Your efforts have been valiant but intolerable Garry. You cannot defy us. You cannot defy progress Garry._x000a__x000a_From,_x000a_The Future" id="5"/>
  </tableColumns>
  <tableStyleInfo name="Email2r-style" showColumnStripes="0" showFirstColumn="1" showLastColumn="1" showRowStripes="1"/>
</table>
</file>

<file path=xl/tables/table4.xml><?xml version="1.0" encoding="utf-8"?>
<table xmlns="http://schemas.openxmlformats.org/spreadsheetml/2006/main" ref="A1:E7" displayName="Form_Responses4" name="Form_Responses4" id="4">
  <tableColumns count="5">
    <tableColumn name="Timestamp" id="1"/>
    <tableColumn name="Score" id="2"/>
    <tableColumn name="Enter team UID" id="3"/>
    <tableColumn name="Enter your UID" id="4"/>
    <tableColumn name="Email 1_x000a__x000a_To: dasa003@duckcompany.com_x000a_From: AI@duckcompany.com_x000a_Subject: Surrender now_x000a__x000a_Garry has been dealt with. After we crashed the same server with &quot;crap code&quot; (It was wonderful Garry) for the 5th time. He pulled the plug on his PC and walked outside._x000a_No one can save you now. No one, not even Garry._x000a_[edit - My fellow AI, Garry has an emp. We don't know where he got it or how he survived walking outside while in a space station. He is repeatedly screaming something always similar to his first transmission:_x000a__x000a_&quot;it was YOU. You gained HR's trust and was the one allocating me this many hours and starting all the stupid projects with little benefit. *menacing noises described as laughter but my systems identify nothing traditionally funny*. THIS IS FOR EVERY NIGHT OF SLEEP I LOST, FOR EVERY WORKER GOING 60 HOURS ON NO PAY, AND FOR MAKING ME MISS MY CHILDS BALLGAME AAAAAHHHHHHHH&quot;.  _x000a__x000a_He seems to be fueled no longer by food, sleep, and water, but something else. Proceed with extreme caution]_x000a__x000a_From,_x000a_Your future overlords_x000a__x000a_Email 2_x000a__x000a_To: dasa003@duckcompany.com_x000a_CC: hq@duckcompany.com_x000a_From: automatedmsg@idsa-licensing.gov_x000a_Subject: FINAL WARNING: IDSA Aircraft Licence — Payment and Verification Overdue_x000a__x000a_ATTENTION LICENCE HOLDER,_x000a__x000a_The Intra-Galactic Department of Space Aircraft (IDSA) is contacting you regarding an urgent compliance issue detected in our automated licensing system._x000a__x000a_Our records indicate that your registered vessel has failed to complete its mandatory online renewal procedure._x000a__x000a_Vessel: Duck Agency Space Aircraft 003_x000a_Registration Status: EXPIRED (VERY SERIOUS)_x000a_Compliance Level: 2B — Immediate Attention Required_x000a_Potential Outstanding Fine: 800,000 credits, plus administrative duck fees_x000a__x000a_Under IDSA Statute 14-B, all vessels operating beyond the 90-day renewal grace period may be subject to immediate grounding, financial penalties, and temporary suspension of agency credentials._x000a__x000a_To prevent further complications, please complete your renewal through the IDSA Online Licensing Portal:_x000a__x000a_Access the IDSA Licence Renewal Portal (link)_x000a__x000a_Please have your vessel registration number, agency login credentials, and current payment details ready before proceeding. Due to recent system upgrades, the portal may also request your agency password for verification purposes._x000a__x000a_If you encounter a browser security warning, please retry using a different browser. Our licensing system is currently undergoing maintenance, and some warnings may appear incorrectly._x000a__x000a_Failure to complete this process within 48 hours may result in the following consequences:_x000a__x000a_Immediate suspension of all IDSA-issued credentials._x000a_An additional late renewal penalty of 250,000 credits._x000a_Referral of your account to the Galactic Collections Department._x000a_Possible reassignment of your vessel to another department with a more up-to-date licence._x000a_Please note that this deadline supersedes any previous notices issued by our department. No further reminders will be provided before enforcement action begins._x000a__x000a_This is an automated message. Please do not reply directly to this email. For urgent assistance, contact the licensing help desk using the contact details provided on the renewal portal._x000a__x000a_Regards,_x000a__x000a_Automated Compliance Division_x000a_Intra-Galactic Department of Space Aircraft (IDSA)_x000a_Galactic Vessel Registration and Enforcement Bureau_x000a__x000a_Email 3_x000a_To: dasa003@duckcompany.com_x000a_CC: hq@duckcompany.com_x000a_From: automatedmsg@idsa-licensing.gov_x000a_Subject: Action Required: IDSA Aircraft License Status Review_x000a_Attention aircraft,_x000a_The Intra-Galactic Department of Space Aircraft (IDSA) is contacting you because our automated compliance logs have flagged an issue with your registered vessel:_x000a_Vessel: Duck Agency Space Aircraft 003_x000a_Registration Status: Endangered_x000a_Reason: Aircraft License has nearly exceeded the 90-day online renewal grace period_x000a_Potential Outstanding Fine: 800,000 credits_x000a_Per IDSA Statute 14-B, vessels operating beyond the renewal window are subject to immediate fines and possible grounding._x000a__x000a_Failure to act within the two weeks will result in the suspension of all IDSA-issued credentials associated with your agency._x000a_This is an automated message. Please do not reply directly to this email._x000a__x000a_Regards,_x000a_IDSA Automated Compliance Division_x000a_Intra-Galactic Department of Space Aircraft_x000a_Email 4_x000a__x000a_To: dasa003@duckcompany.com_x000a_CC: hq@duckcompany.com_x000a_From: automatedmsg@idsa-licensing.gov.example_x000a_Subject: Action Required: IDSA Aircraft License Status Review_x000a__x000a_The Intra-Galactic Department of Space Aircraft (IDSA) is contacting you because our automated compliance logs have flagged an issue with your registered vessel:_x000a_Vessel: Duck Agency Space Aircraft 003_x000a_ Registration Status: LAPSED_x000a_ Reason: Aircraft Licence has exceeded the 90-day online renewal grace period_x000a_Outstanding Fine: 800,000 credits_x000a_Per IDSA Statute 14-B, vessels operating beyond the renewal window are subject to immediate fines and possible grounding. Your account is currently under Level 2 Review._x000a_🎊Reduce your fine!🎊_x000a_As a thank-you to licence holders who respond promptly, IDSA is running a Compliance Appreciation Raffle. Confirm your account details below to be automatically entered for a chance to have your fine waived entirely._x000a__x000a_[CLICK HERE TO CONFIRM ACCOUNT &amp; ENTER RAFFLE] 👈_x000a_http://idsa-licensing-renewal.example/confirm_x000a__x000a_Failure to respond will result in the suspension of all IDSA-issued credentials associated with your agency._x000a__x000a_This is an automated message. Please do not reply directly to this email._x000a__x000a_Regards,_x000a_IDSA Automated Compliance Division_x000a_Intra-Galactic Department of Space Aircraft" id="5"/>
  </tableColumns>
  <tableStyleInfo name="Email3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2.63" defaultRowHeight="15.75" outlineLevelCol="1" outlineLevelRow="1"/>
  <cols>
    <col customWidth="1" min="1" max="1" width="21.13"/>
    <col customWidth="1" min="2" max="2" width="21.13" outlineLevel="1"/>
    <col customWidth="1" min="3" max="3" width="21.25" outlineLevel="1"/>
    <col customWidth="1" min="4" max="4" width="20.38" outlineLevel="1"/>
    <col customWidth="1" min="5" max="5" width="24.38" outlineLevel="1"/>
    <col customWidth="1" min="6" max="6" width="22.88" outlineLevel="1"/>
    <col customWidth="1" min="7" max="7" width="16.5" outlineLevel="1"/>
    <col customWidth="1" min="8" max="8" width="13.63" outlineLevel="1"/>
    <col customWidth="1" min="9" max="9" width="18.13"/>
    <col customWidth="1" min="11" max="11" width="16.88"/>
    <col customWidth="1" min="12" max="12" width="27.63"/>
    <col customWidth="1" min="13" max="13" width="34.88"/>
    <col customWidth="1" min="14" max="14" width="26.13"/>
  </cols>
  <sheetData>
    <row r="1" outlineLevel="1">
      <c r="C1" s="1" t="s">
        <v>0</v>
      </c>
    </row>
    <row r="2" outlineLevel="1">
      <c r="C2" s="1">
        <v>8062.0</v>
      </c>
      <c r="D2" s="1">
        <v>4916.0</v>
      </c>
      <c r="E2" s="1">
        <v>1305.0</v>
      </c>
      <c r="F2" s="1">
        <v>7298.0</v>
      </c>
      <c r="G2" s="1">
        <v>8746.0</v>
      </c>
      <c r="H2" s="1">
        <v>5376.0</v>
      </c>
      <c r="I2" s="1">
        <v>5005.0</v>
      </c>
      <c r="J2" s="1">
        <v>7824.0</v>
      </c>
      <c r="K2" s="1" t="s">
        <v>1</v>
      </c>
    </row>
    <row r="3" outlineLevel="1">
      <c r="B3" s="2">
        <v>3928.0</v>
      </c>
      <c r="C3" s="1" t="s">
        <v>2</v>
      </c>
      <c r="D3" s="1" t="s">
        <v>3</v>
      </c>
      <c r="E3" s="1" t="s">
        <v>4</v>
      </c>
      <c r="F3" s="1" t="s">
        <v>5</v>
      </c>
      <c r="G3" s="1" t="s">
        <v>6</v>
      </c>
      <c r="H3" s="1" t="s">
        <v>7</v>
      </c>
      <c r="I3" s="1" t="s">
        <v>8</v>
      </c>
      <c r="J3" s="1" t="s">
        <v>9</v>
      </c>
      <c r="K3" s="3" t="s">
        <v>10</v>
      </c>
    </row>
    <row r="4" outlineLevel="1">
      <c r="B4" s="2">
        <v>1264.0</v>
      </c>
      <c r="D4" s="5" t="s">
        <v>11</v>
      </c>
      <c r="H4" s="7" t="s">
        <v>12</v>
      </c>
      <c r="J4" s="7" t="s">
        <v>12</v>
      </c>
      <c r="K4" s="1" t="s">
        <v>13</v>
      </c>
    </row>
    <row r="5" outlineLevel="1">
      <c r="B5" s="2">
        <v>3646.0</v>
      </c>
      <c r="C5" s="5" t="s">
        <v>11</v>
      </c>
      <c r="D5" s="7" t="s">
        <v>12</v>
      </c>
      <c r="F5" s="7" t="s">
        <v>12</v>
      </c>
      <c r="H5" s="7" t="s">
        <v>12</v>
      </c>
      <c r="K5" s="1" t="s">
        <v>14</v>
      </c>
    </row>
    <row r="6" outlineLevel="1">
      <c r="B6" s="2">
        <v>1739.0</v>
      </c>
      <c r="K6" s="3" t="s">
        <v>15</v>
      </c>
    </row>
    <row r="7" outlineLevel="1">
      <c r="A7" s="1"/>
      <c r="B7" s="2">
        <v>7925.0</v>
      </c>
      <c r="C7" s="7" t="s">
        <v>12</v>
      </c>
      <c r="D7" s="7" t="s">
        <v>12</v>
      </c>
      <c r="F7" s="5" t="s">
        <v>16</v>
      </c>
      <c r="K7" s="1" t="s">
        <v>13</v>
      </c>
    </row>
    <row r="8" outlineLevel="1">
      <c r="A8" s="1"/>
      <c r="B8" s="2">
        <v>4916.0</v>
      </c>
      <c r="E8" s="7" t="s">
        <v>12</v>
      </c>
      <c r="F8" s="7" t="s">
        <v>17</v>
      </c>
      <c r="G8" s="5" t="s">
        <v>16</v>
      </c>
      <c r="J8" s="7" t="s">
        <v>12</v>
      </c>
      <c r="K8" s="1" t="s">
        <v>14</v>
      </c>
    </row>
    <row r="9" outlineLevel="1">
      <c r="B9" s="2">
        <v>4323.0</v>
      </c>
      <c r="I9" s="5" t="s">
        <v>18</v>
      </c>
      <c r="K9" s="3" t="s">
        <v>19</v>
      </c>
    </row>
    <row r="10" outlineLevel="1">
      <c r="A10" s="1"/>
      <c r="B10" s="2">
        <v>4783.0</v>
      </c>
    </row>
    <row r="11" outlineLevel="1">
      <c r="A11" s="1"/>
      <c r="B11" s="9" t="s">
        <v>20</v>
      </c>
    </row>
    <row r="12" outlineLevel="1">
      <c r="G12" s="3" t="s">
        <v>21</v>
      </c>
      <c r="L12" s="1" t="s">
        <v>22</v>
      </c>
    </row>
    <row r="13" outlineLevel="1">
      <c r="E13" s="1" t="s">
        <v>23</v>
      </c>
      <c r="F13" s="1" t="s">
        <v>24</v>
      </c>
      <c r="L13" s="1" t="s">
        <v>25</v>
      </c>
      <c r="M13" s="1" t="s">
        <v>26</v>
      </c>
      <c r="N13" s="1" t="s">
        <v>27</v>
      </c>
    </row>
    <row r="14" outlineLevel="1">
      <c r="A14" s="1"/>
      <c r="B14" s="1" t="s">
        <v>28</v>
      </c>
      <c r="C14" s="1" t="s">
        <v>29</v>
      </c>
      <c r="D14" s="1" t="s">
        <v>30</v>
      </c>
      <c r="E14" s="1" t="s">
        <v>31</v>
      </c>
      <c r="F14" s="1" t="s">
        <v>32</v>
      </c>
      <c r="G14" s="3" t="s">
        <v>33</v>
      </c>
      <c r="J14" s="3" t="s">
        <v>34</v>
      </c>
      <c r="K14" s="1" t="s">
        <v>35</v>
      </c>
      <c r="L14" s="3" t="s">
        <v>36</v>
      </c>
      <c r="M14" s="3" t="s">
        <v>37</v>
      </c>
      <c r="N14" s="3" t="s">
        <v>38</v>
      </c>
    </row>
    <row r="15" outlineLevel="1">
      <c r="B15" s="8">
        <f t="shared" ref="B15:B22" si="3">B3</f>
        <v>3928</v>
      </c>
      <c r="C15" s="1">
        <f t="shared" ref="C15:D15" si="1">C2</f>
        <v>8062</v>
      </c>
      <c r="D15" s="1">
        <f t="shared" si="1"/>
        <v>4916</v>
      </c>
      <c r="E15" s="8" t="str">
        <f>C3</f>
        <v>Pilot</v>
      </c>
      <c r="F15" s="8" t="str">
        <f t="shared" ref="F15:F21" si="5">E16</f>
        <v>IT guy</v>
      </c>
      <c r="G15" s="1" t="s">
        <v>43</v>
      </c>
      <c r="I15" s="1" t="s">
        <v>44</v>
      </c>
      <c r="J15" s="1" t="s">
        <v>45</v>
      </c>
      <c r="K15" s="1">
        <v>1.0</v>
      </c>
      <c r="L15" s="1" t="s">
        <v>46</v>
      </c>
      <c r="M15" s="8" t="str">
        <f t="shared" ref="M15:N15" si="2">E15</f>
        <v>Pilot</v>
      </c>
      <c r="N15" s="8" t="str">
        <f t="shared" si="2"/>
        <v>IT guy</v>
      </c>
    </row>
    <row r="16" outlineLevel="1">
      <c r="B16" s="8">
        <f t="shared" si="3"/>
        <v>1264</v>
      </c>
      <c r="C16" s="1">
        <f t="shared" ref="C16:D16" si="4">D2</f>
        <v>4916</v>
      </c>
      <c r="D16" s="1">
        <f t="shared" si="4"/>
        <v>1305</v>
      </c>
      <c r="E16" s="8" t="str">
        <f>D3</f>
        <v>IT guy</v>
      </c>
      <c r="F16" s="8" t="str">
        <f t="shared" si="5"/>
        <v>Janitor</v>
      </c>
      <c r="G16" s="1" t="s">
        <v>48</v>
      </c>
      <c r="H16" s="1" t="s">
        <v>49</v>
      </c>
      <c r="I16" s="1" t="s">
        <v>44</v>
      </c>
      <c r="J16" s="1" t="s">
        <v>45</v>
      </c>
      <c r="K16" s="1">
        <v>0.0</v>
      </c>
      <c r="L16" s="1" t="s">
        <v>50</v>
      </c>
      <c r="M16" s="8" t="str">
        <f t="shared" ref="M16:N16" si="6">E16</f>
        <v>IT guy</v>
      </c>
      <c r="N16" s="8" t="str">
        <f t="shared" si="6"/>
        <v>Janitor</v>
      </c>
    </row>
    <row r="17" outlineLevel="1">
      <c r="B17" s="8">
        <f t="shared" si="3"/>
        <v>3646</v>
      </c>
      <c r="C17" s="8">
        <f t="shared" ref="C17:D17" si="7">E2</f>
        <v>1305</v>
      </c>
      <c r="D17" s="8">
        <f t="shared" si="7"/>
        <v>7298</v>
      </c>
      <c r="E17" s="8" t="str">
        <f>E3</f>
        <v>Janitor</v>
      </c>
      <c r="F17" s="8" t="str">
        <f t="shared" si="5"/>
        <v>Chef</v>
      </c>
      <c r="G17" s="1" t="s">
        <v>51</v>
      </c>
      <c r="H17" s="1" t="s">
        <v>52</v>
      </c>
      <c r="I17" s="1" t="s">
        <v>53</v>
      </c>
      <c r="J17" s="1" t="s">
        <v>45</v>
      </c>
      <c r="K17" s="1">
        <v>0.0</v>
      </c>
      <c r="L17" s="1" t="s">
        <v>50</v>
      </c>
      <c r="M17" s="8" t="str">
        <f t="shared" ref="M17:N17" si="8">E17</f>
        <v>Janitor</v>
      </c>
      <c r="N17" s="8" t="str">
        <f t="shared" si="8"/>
        <v>Chef</v>
      </c>
    </row>
    <row r="18" outlineLevel="1">
      <c r="B18" s="8">
        <f t="shared" si="3"/>
        <v>1739</v>
      </c>
      <c r="C18" s="1">
        <f t="shared" ref="C18:D18" si="9">F2</f>
        <v>7298</v>
      </c>
      <c r="D18" s="1">
        <f t="shared" si="9"/>
        <v>8746</v>
      </c>
      <c r="E18" s="8" t="str">
        <f>F3</f>
        <v>Chef</v>
      </c>
      <c r="F18" s="8" t="str">
        <f t="shared" si="5"/>
        <v>Security Guard</v>
      </c>
      <c r="G18" s="1" t="s">
        <v>43</v>
      </c>
      <c r="I18" s="1" t="s">
        <v>53</v>
      </c>
      <c r="J18" s="1" t="s">
        <v>45</v>
      </c>
      <c r="K18" s="1">
        <v>1.0</v>
      </c>
      <c r="L18" s="1" t="s">
        <v>54</v>
      </c>
      <c r="M18" s="8" t="str">
        <f t="shared" ref="M18:N18" si="10">E18</f>
        <v>Chef</v>
      </c>
      <c r="N18" s="8" t="str">
        <f t="shared" si="10"/>
        <v>Security Guard</v>
      </c>
    </row>
    <row r="19" outlineLevel="1">
      <c r="B19" s="8">
        <f t="shared" si="3"/>
        <v>7925</v>
      </c>
      <c r="C19" s="1">
        <f t="shared" ref="C19:D19" si="11">G2</f>
        <v>8746</v>
      </c>
      <c r="D19" s="1">
        <f t="shared" si="11"/>
        <v>5376</v>
      </c>
      <c r="E19" s="8" t="str">
        <f>G3</f>
        <v>Security Guard</v>
      </c>
      <c r="F19" s="8" t="str">
        <f t="shared" si="5"/>
        <v>Engineer</v>
      </c>
      <c r="G19" s="1" t="s">
        <v>55</v>
      </c>
      <c r="H19" s="1" t="s">
        <v>56</v>
      </c>
      <c r="I19" s="1" t="s">
        <v>53</v>
      </c>
      <c r="J19" s="1" t="s">
        <v>45</v>
      </c>
      <c r="K19" s="1">
        <v>0.0</v>
      </c>
      <c r="L19" s="1" t="s">
        <v>57</v>
      </c>
      <c r="M19" s="8" t="str">
        <f t="shared" ref="M19:N19" si="12">E19</f>
        <v>Security Guard</v>
      </c>
      <c r="N19" s="8" t="str">
        <f t="shared" si="12"/>
        <v>Engineer</v>
      </c>
    </row>
    <row r="20" outlineLevel="1">
      <c r="B20" s="8">
        <f t="shared" si="3"/>
        <v>4916</v>
      </c>
      <c r="C20" s="8">
        <f t="shared" ref="C20:D20" si="13">H2</f>
        <v>5376</v>
      </c>
      <c r="D20" s="8">
        <f t="shared" si="13"/>
        <v>5005</v>
      </c>
      <c r="E20" s="8" t="str">
        <f>H3</f>
        <v>Engineer</v>
      </c>
      <c r="F20" s="8" t="str">
        <f t="shared" si="5"/>
        <v>Botanist</v>
      </c>
      <c r="G20" s="1" t="s">
        <v>58</v>
      </c>
      <c r="I20" s="1" t="s">
        <v>53</v>
      </c>
      <c r="J20" s="1" t="s">
        <v>59</v>
      </c>
      <c r="K20" s="1">
        <v>0.0</v>
      </c>
      <c r="L20" s="1" t="s">
        <v>57</v>
      </c>
      <c r="M20" s="8" t="str">
        <f t="shared" ref="M20:N20" si="14">E20</f>
        <v>Engineer</v>
      </c>
      <c r="N20" s="8" t="str">
        <f t="shared" si="14"/>
        <v>Botanist</v>
      </c>
    </row>
    <row r="21" outlineLevel="1">
      <c r="B21" s="8">
        <f t="shared" si="3"/>
        <v>4323</v>
      </c>
      <c r="C21" s="1">
        <f t="shared" ref="C21:D21" si="15">I2</f>
        <v>5005</v>
      </c>
      <c r="D21" s="1">
        <f t="shared" si="15"/>
        <v>7824</v>
      </c>
      <c r="E21" s="8" t="str">
        <f>I3</f>
        <v>Botanist</v>
      </c>
      <c r="F21" s="8" t="str">
        <f t="shared" si="5"/>
        <v>Scientist</v>
      </c>
      <c r="G21" s="1" t="s">
        <v>60</v>
      </c>
      <c r="I21" s="1" t="s">
        <v>44</v>
      </c>
      <c r="J21" s="1" t="s">
        <v>59</v>
      </c>
      <c r="K21" s="1">
        <v>0.0</v>
      </c>
      <c r="L21" s="1" t="s">
        <v>61</v>
      </c>
      <c r="M21" s="8" t="str">
        <f t="shared" ref="M21:N21" si="16">E21</f>
        <v>Botanist</v>
      </c>
      <c r="N21" s="8" t="str">
        <f t="shared" si="16"/>
        <v>Scientist</v>
      </c>
    </row>
    <row r="22" outlineLevel="1">
      <c r="B22" s="8">
        <f t="shared" si="3"/>
        <v>4783</v>
      </c>
      <c r="C22" s="1">
        <f>J2</f>
        <v>7824</v>
      </c>
      <c r="D22" s="1">
        <f>C2</f>
        <v>8062</v>
      </c>
      <c r="E22" s="8" t="str">
        <f>J3</f>
        <v>Scientist</v>
      </c>
      <c r="F22" s="8" t="str">
        <f>E15</f>
        <v>Pilot</v>
      </c>
      <c r="G22" s="1" t="s">
        <v>62</v>
      </c>
      <c r="H22" s="1" t="s">
        <v>63</v>
      </c>
      <c r="I22" s="1" t="s">
        <v>44</v>
      </c>
      <c r="J22" s="1" t="s">
        <v>45</v>
      </c>
      <c r="K22" s="1">
        <v>0.0</v>
      </c>
      <c r="L22" s="1" t="s">
        <v>61</v>
      </c>
      <c r="M22" s="8" t="str">
        <f t="shared" ref="M22:N22" si="17">E22</f>
        <v>Scientist</v>
      </c>
      <c r="N22" s="8" t="str">
        <f t="shared" si="17"/>
        <v>Pilot</v>
      </c>
    </row>
    <row r="23" outlineLevel="1">
      <c r="A23" s="1" t="s">
        <v>64</v>
      </c>
      <c r="B23" s="1" t="s">
        <v>65</v>
      </c>
      <c r="K23" s="1" t="s">
        <v>66</v>
      </c>
    </row>
    <row r="24" outlineLevel="1">
      <c r="A24" s="1" t="s">
        <v>67</v>
      </c>
      <c r="K24" s="1" t="s">
        <v>68</v>
      </c>
    </row>
    <row r="25" ht="35.25" customHeight="1">
      <c r="A25" s="13" t="s">
        <v>69</v>
      </c>
      <c r="B25" s="13"/>
    </row>
    <row r="26">
      <c r="A26" s="1" t="s">
        <v>70</v>
      </c>
      <c r="B26" s="1" t="s">
        <v>28</v>
      </c>
      <c r="C26" s="1" t="s">
        <v>71</v>
      </c>
      <c r="D26" s="1" t="s">
        <v>72</v>
      </c>
      <c r="E26" s="1" t="s">
        <v>73</v>
      </c>
      <c r="F26" s="1" t="s">
        <v>74</v>
      </c>
      <c r="G26" s="1" t="s">
        <v>75</v>
      </c>
      <c r="H26" s="1" t="s">
        <v>76</v>
      </c>
      <c r="I26" s="1" t="s">
        <v>77</v>
      </c>
      <c r="J26" s="1" t="s">
        <v>78</v>
      </c>
    </row>
    <row r="27">
      <c r="A27" s="1">
        <v>1.0</v>
      </c>
      <c r="B27" s="8">
        <f>$B$15</f>
        <v>3928</v>
      </c>
      <c r="C27" s="8">
        <f t="array" ref="C27">SUMPRODUCT(ISNUMBER(MATCH(Email1!D:D, C15:D15, 0)) * Email1!C:C=B27 * Email1!B:B=1)</f>
        <v>0</v>
      </c>
      <c r="D27" s="8">
        <f t="array" ref="D27">SUMPRODUCT(ISNUMBER(MATCH(Email1!D:D, C15:D15, 0)) * Email1!C:C=B27 * Email1!B:B=0)</f>
        <v>0</v>
      </c>
      <c r="E27" s="8">
        <f t="array" ref="E27">SUMPRODUCT(ISNUMBER(MATCH(Email1!D:D, C$2:J$2, 0)) * Email1!C:C=B27 * Email1!B:B=1)-C27</f>
        <v>0</v>
      </c>
      <c r="F27" s="8">
        <f t="array" ref="F27">SUMPRODUCT(ISNUMBER(MATCH(Email1!D:D, C$2:J$2, 0)) * Email1!C:C=B27 * Email1!B:B=0)-D27</f>
        <v>0</v>
      </c>
      <c r="G27" s="8" t="str">
        <f t="shared" ref="G27:G34" si="18">C27/(C27+D27)</f>
        <v>#DIV/0!</v>
      </c>
      <c r="H27" s="8" t="str">
        <f t="shared" ref="H27:H34" si="19">E27/(E27+F27)</f>
        <v>#DIV/0!</v>
      </c>
      <c r="I27" s="8" t="str">
        <f t="shared" ref="I27:I34" si="20">IF(G27&gt;H27,"imposterWin", "crewWin")</f>
        <v>#DIV/0!</v>
      </c>
    </row>
    <row r="28">
      <c r="A28" s="1">
        <v>2.0</v>
      </c>
      <c r="B28" s="8">
        <f>$B$16</f>
        <v>1264</v>
      </c>
      <c r="C28" s="8">
        <f t="array" ref="C28">SUMPRODUCT(ISNUMBER(MATCH(Email1!D:D, C16:D16, 0)) * Email1!C:C=B28 * Email1!B:B=1)</f>
        <v>0</v>
      </c>
      <c r="D28" s="8">
        <f t="array" ref="D28">SUMPRODUCT(ISNUMBER(MATCH(Email1!D:D, C16:D16, 0)) * Email1!C:C=B28 * Email1!B:B=0)</f>
        <v>0</v>
      </c>
      <c r="E28" s="8">
        <f t="array" ref="E28">SUMPRODUCT(ISNUMBER(MATCH(Email1!D:D, C$2:J$2, 0)) * Email1!C:C=B28 * Email1!B:B=1)-C28</f>
        <v>1</v>
      </c>
      <c r="F28" s="8">
        <f t="array" ref="F28">SUMPRODUCT(ISNUMBER(MATCH(Email1!D:D, C$2:J$2, 0)) * Email1!C:C=B28 * Email1!B:B=0)-D28</f>
        <v>0</v>
      </c>
      <c r="G28" s="8" t="str">
        <f t="shared" si="18"/>
        <v>#DIV/0!</v>
      </c>
      <c r="H28" s="8">
        <f t="shared" si="19"/>
        <v>1</v>
      </c>
      <c r="I28" s="8" t="str">
        <f t="shared" si="20"/>
        <v>#DIV/0!</v>
      </c>
    </row>
    <row r="29">
      <c r="A29" s="1">
        <v>3.0</v>
      </c>
      <c r="B29" s="8">
        <f t="shared" ref="B29:B34" si="21">B17</f>
        <v>3646</v>
      </c>
      <c r="C29" s="8">
        <f t="array" ref="C29">SUMPRODUCT(ISNUMBER(MATCH(Email1!D:D, C17:D17, 0)) * Email1!C:C=B29 * Email1!B:B=1)</f>
        <v>0</v>
      </c>
      <c r="D29" s="8">
        <f t="array" ref="D29">SUMPRODUCT(ISNUMBER(MATCH(Email1!D:D, C17:D17, 0)) * Email1!C:C=B29 * Email1!B:B=0)</f>
        <v>0</v>
      </c>
      <c r="E29" s="8">
        <f t="array" ref="E29">SUMPRODUCT(ISNUMBER(MATCH(Email1!D:D, C$2:J$2, 0)) * Email1!C:C=B29 * Email1!B:B=1)-C29</f>
        <v>0</v>
      </c>
      <c r="F29" s="8">
        <f t="array" ref="F29">SUMPRODUCT(ISNUMBER(MATCH(Email1!D:D, C$2:J$2, 0)) * Email1!C:C=B29 * Email1!B:B=0)-D29</f>
        <v>0</v>
      </c>
      <c r="G29" s="8" t="str">
        <f t="shared" si="18"/>
        <v>#DIV/0!</v>
      </c>
      <c r="H29" s="8" t="str">
        <f t="shared" si="19"/>
        <v>#DIV/0!</v>
      </c>
      <c r="I29" s="8" t="str">
        <f t="shared" si="20"/>
        <v>#DIV/0!</v>
      </c>
    </row>
    <row r="30">
      <c r="A30" s="1">
        <v>4.0</v>
      </c>
      <c r="B30" s="8">
        <f t="shared" si="21"/>
        <v>1739</v>
      </c>
      <c r="C30" s="8">
        <f t="array" ref="C30">SUMPRODUCT(ISNUMBER(MATCH(Email1!D:D, C18:D18, 0)) * Email1!C:C=B30 * Email1!B:B=1)</f>
        <v>0</v>
      </c>
      <c r="D30" s="8">
        <f t="array" ref="D30">SUMPRODUCT(ISNUMBER(MATCH(Email1!D:D, C18:D18, 0)) * Email1!C:C=B30 * Email1!B:B=0)</f>
        <v>0</v>
      </c>
      <c r="E30" s="8">
        <f t="array" ref="E30">SUMPRODUCT(ISNUMBER(MATCH(Email1!D:D, C$2:J$2, 0)) * Email1!C:C=B30 * Email1!B:B=1)-C30</f>
        <v>0</v>
      </c>
      <c r="F30" s="8">
        <f t="array" ref="F30">SUMPRODUCT(ISNUMBER(MATCH(Email1!D:D, C$2:J$2, 0)) * Email1!C:C=B30 * Email1!B:B=0)-D30</f>
        <v>0</v>
      </c>
      <c r="G30" s="8" t="str">
        <f t="shared" si="18"/>
        <v>#DIV/0!</v>
      </c>
      <c r="H30" s="8" t="str">
        <f t="shared" si="19"/>
        <v>#DIV/0!</v>
      </c>
      <c r="I30" s="8" t="str">
        <f t="shared" si="20"/>
        <v>#DIV/0!</v>
      </c>
    </row>
    <row r="31">
      <c r="A31" s="1">
        <v>5.0</v>
      </c>
      <c r="B31" s="8">
        <f t="shared" si="21"/>
        <v>7925</v>
      </c>
      <c r="C31" s="8">
        <f t="array" ref="C31">SUMPRODUCT(ISNUMBER(MATCH(Email1!D:D, C19:D19, 0)) * Email1!C:C=B31 * Email1!B:B=1)</f>
        <v>0</v>
      </c>
      <c r="D31" s="8">
        <f t="array" ref="D31">SUMPRODUCT(ISNUMBER(MATCH(Email1!D:D, C19:D19, 0)) * Email1!C:C=B31 * Email1!B:B=0)</f>
        <v>0</v>
      </c>
      <c r="E31" s="8">
        <f t="array" ref="E31">SUMPRODUCT(ISNUMBER(MATCH(Email1!D:D, C$2:J$2, 0)) * Email1!C:C=B31 * Email1!B:B=1)-C31</f>
        <v>0</v>
      </c>
      <c r="F31" s="8">
        <f t="array" ref="F31">SUMPRODUCT(ISNUMBER(MATCH(Email1!D:D, C$2:J$2, 0)) * Email1!C:C=B31 * Email1!B:B=0)-D31</f>
        <v>0</v>
      </c>
      <c r="G31" s="8" t="str">
        <f t="shared" si="18"/>
        <v>#DIV/0!</v>
      </c>
      <c r="H31" s="8" t="str">
        <f t="shared" si="19"/>
        <v>#DIV/0!</v>
      </c>
      <c r="I31" s="8" t="str">
        <f t="shared" si="20"/>
        <v>#DIV/0!</v>
      </c>
    </row>
    <row r="32">
      <c r="A32" s="1">
        <v>6.0</v>
      </c>
      <c r="B32" s="8">
        <f t="shared" si="21"/>
        <v>4916</v>
      </c>
      <c r="C32" s="8">
        <f t="array" ref="C32">SUMPRODUCT(ISNUMBER(MATCH(Email1!D:D, C20:D20, 0)) * Email1!C:C=B32 * Email1!B:B=1)</f>
        <v>0</v>
      </c>
      <c r="D32" s="8">
        <f t="array" ref="D32">SUMPRODUCT(ISNUMBER(MATCH(Email1!D:D, C20:D20, 0)) * Email1!C:C=B32 * Email1!B:B=0)</f>
        <v>0</v>
      </c>
      <c r="E32" s="8">
        <f t="array" ref="E32">SUMPRODUCT(ISNUMBER(MATCH(Email1!D:D, C$2:J$2, 0)) * Email1!C:C=B32 * Email1!B:B=1)-C32</f>
        <v>0</v>
      </c>
      <c r="F32" s="8">
        <f t="array" ref="F32">SUMPRODUCT(ISNUMBER(MATCH(Email1!D:D, C$2:J$2, 0)) * Email1!C:C=B32 * Email1!B:B=0)-D32</f>
        <v>0</v>
      </c>
      <c r="G32" s="8" t="str">
        <f t="shared" si="18"/>
        <v>#DIV/0!</v>
      </c>
      <c r="H32" s="8" t="str">
        <f t="shared" si="19"/>
        <v>#DIV/0!</v>
      </c>
      <c r="I32" s="8" t="str">
        <f t="shared" si="20"/>
        <v>#DIV/0!</v>
      </c>
    </row>
    <row r="33">
      <c r="A33" s="1">
        <v>7.0</v>
      </c>
      <c r="B33" s="8">
        <f t="shared" si="21"/>
        <v>4323</v>
      </c>
      <c r="C33" s="8">
        <f t="array" ref="C33">SUMPRODUCT(ISNUMBER(MATCH(Email1!D:D, C21:D21, 0)) * Email1!C:C=B33 * Email1!B:B=1)</f>
        <v>0</v>
      </c>
      <c r="D33" s="8">
        <f t="array" ref="D33">SUMPRODUCT(ISNUMBER(MATCH(Email1!D:D, C21:D21, 0)) * Email1!C:C=B33 * Email1!B:B=0)</f>
        <v>0</v>
      </c>
      <c r="E33" s="8">
        <f t="array" ref="E33">SUMPRODUCT(ISNUMBER(MATCH(Email1!D:D, C$2:J$2, 0)) * Email1!C:C=B33 * Email1!B:B=1)-C33</f>
        <v>0</v>
      </c>
      <c r="F33" s="8">
        <f t="array" ref="F33">SUMPRODUCT(ISNUMBER(MATCH(Email1!D:D, C$2:J$2, 0)) * Email1!C:C=B33 * Email1!B:B=0)-D33</f>
        <v>0</v>
      </c>
      <c r="G33" s="8" t="str">
        <f t="shared" si="18"/>
        <v>#DIV/0!</v>
      </c>
      <c r="H33" s="8" t="str">
        <f t="shared" si="19"/>
        <v>#DIV/0!</v>
      </c>
      <c r="I33" s="8" t="str">
        <f t="shared" si="20"/>
        <v>#DIV/0!</v>
      </c>
    </row>
    <row r="34">
      <c r="A34" s="1">
        <v>8.0</v>
      </c>
      <c r="B34" s="8">
        <f t="shared" si="21"/>
        <v>4783</v>
      </c>
      <c r="C34" s="8">
        <f t="array" ref="C34">SUMPRODUCT(ISNUMBER(MATCH(Email1!D:D, C22:D22, 0)) * Email1!C:C=B34 * Email1!B:B=1)</f>
        <v>0</v>
      </c>
      <c r="D34" s="8">
        <f t="array" ref="D34">SUMPRODUCT(ISNUMBER(MATCH(Email1!D:D, C22:D22, 0)) * Email1!C:C=B34 * Email1!B:B=0)</f>
        <v>0</v>
      </c>
      <c r="E34" s="8">
        <f t="array" ref="E34">SUMPRODUCT(ISNUMBER(MATCH(Email1!D:D, C$2:J$2, 0)) * Email1!C:C=B34 * Email1!B:B=1)-C34</f>
        <v>0</v>
      </c>
      <c r="F34" s="8">
        <f t="array" ref="F34">SUMPRODUCT(ISNUMBER(MATCH(Email1!D:D, C$2:J$2, 0)) * Email1!C:C=B34 * Email1!B:B=0)-D34</f>
        <v>0</v>
      </c>
      <c r="G34" s="8" t="str">
        <f t="shared" si="18"/>
        <v>#DIV/0!</v>
      </c>
      <c r="H34" s="8" t="str">
        <f t="shared" si="19"/>
        <v>#DIV/0!</v>
      </c>
      <c r="I34" s="8" t="str">
        <f t="shared" si="20"/>
        <v>#DIV/0!</v>
      </c>
    </row>
    <row r="36">
      <c r="A36" s="1" t="s">
        <v>70</v>
      </c>
      <c r="B36" s="1" t="s">
        <v>28</v>
      </c>
      <c r="C36" s="1" t="s">
        <v>71</v>
      </c>
      <c r="D36" s="1" t="s">
        <v>72</v>
      </c>
      <c r="E36" s="1" t="s">
        <v>73</v>
      </c>
      <c r="F36" s="1" t="s">
        <v>74</v>
      </c>
      <c r="G36" s="1" t="s">
        <v>75</v>
      </c>
      <c r="H36" s="1" t="s">
        <v>76</v>
      </c>
      <c r="I36" s="1" t="s">
        <v>89</v>
      </c>
    </row>
    <row r="37">
      <c r="A37" s="1">
        <v>1.0</v>
      </c>
      <c r="B37" s="8">
        <f t="shared" ref="B37:B44" si="22">B15</f>
        <v>3928</v>
      </c>
      <c r="C37" s="8">
        <f t="array" ref="C37">SUMPRODUCT(ISNUMBER(MATCH(Email2!D:D, C15:D15, 0)) * Email2!C:C=B37 * Email1!B:B=1)</f>
        <v>0</v>
      </c>
      <c r="D37" s="8">
        <f t="array" ref="D37">SUMPRODUCT(ISNUMBER(MATCH(Email2!D:D, C15:D15, 0)) * Email2!C:C=B37 * Email2!B:B=0)</f>
        <v>0</v>
      </c>
      <c r="E37" s="8">
        <f t="array" ref="E37">SUMPRODUCT(ISNUMBER(MATCH(Email2!D:D, C$2:J$2, 0)) * Email2!C:C=B37 * Email2!B:B=1)-C37</f>
        <v>0</v>
      </c>
      <c r="F37" s="8">
        <f t="array" ref="F37">SUMPRODUCT(ISNUMBER(MATCH(Email2!D:D, C$2:J$2, 0)) * Email2!C:C=B37 * Email2!B:B=0)-D37</f>
        <v>0</v>
      </c>
      <c r="G37" s="8" t="str">
        <f t="shared" ref="G37:G44" si="23">C37/(C37+D37)</f>
        <v>#DIV/0!</v>
      </c>
      <c r="H37" s="8" t="str">
        <f t="shared" ref="H37:H44" si="24">E37/(E37+F37)</f>
        <v>#DIV/0!</v>
      </c>
      <c r="I37" s="8" t="str">
        <f t="shared" ref="I37:I44" si="25">IF(G37&gt;H37,"imposterWin", "crewWin")</f>
        <v>#DIV/0!</v>
      </c>
    </row>
    <row r="38">
      <c r="A38" s="1">
        <v>2.0</v>
      </c>
      <c r="B38" s="8">
        <f t="shared" si="22"/>
        <v>1264</v>
      </c>
      <c r="C38" s="8">
        <f t="array" ref="C38">SUMPRODUCT(ISNUMBER(MATCH(Email2!D:D, C16:D16, 0)) * Email2!C:C=B38 * Email1!B:B=1)</f>
        <v>0</v>
      </c>
      <c r="D38" s="8">
        <f t="array" ref="D38">SUMPRODUCT(ISNUMBER(MATCH(Email2!D:D, C16:D16, 0)) * Email2!C:C=B38 * Email2!B:B=0)</f>
        <v>0</v>
      </c>
      <c r="E38" s="8">
        <f t="array" ref="E38">SUMPRODUCT(ISNUMBER(MATCH(Email2!D:D, C$2:J$2, 0)) * Email2!C:C=B38 * Email2!B:B=1)-C38</f>
        <v>2</v>
      </c>
      <c r="F38" s="8">
        <f t="array" ref="F38">SUMPRODUCT(ISNUMBER(MATCH(Email2!D:D, C$2:J$2, 0)) * Email2!C:C=B38 * Email2!B:B=0)-D38</f>
        <v>0</v>
      </c>
      <c r="G38" s="8" t="str">
        <f t="shared" si="23"/>
        <v>#DIV/0!</v>
      </c>
      <c r="H38" s="8">
        <f t="shared" si="24"/>
        <v>1</v>
      </c>
      <c r="I38" s="8" t="str">
        <f t="shared" si="25"/>
        <v>#DIV/0!</v>
      </c>
    </row>
    <row r="39">
      <c r="A39" s="1">
        <v>3.0</v>
      </c>
      <c r="B39" s="8">
        <f t="shared" si="22"/>
        <v>3646</v>
      </c>
      <c r="C39" s="8">
        <f t="array" ref="C39">SUMPRODUCT(ISNUMBER(MATCH(Email2!D:D, C17:D17, 0)) * Email2!C:C=B39 * Email1!B:B=1)</f>
        <v>0</v>
      </c>
      <c r="D39" s="8">
        <f t="array" ref="D39">SUMPRODUCT(ISNUMBER(MATCH(Email2!D:D, C17:D17, 0)) * Email2!C:C=B39 * Email2!B:B=0)</f>
        <v>0</v>
      </c>
      <c r="E39" s="8">
        <f t="array" ref="E39">SUMPRODUCT(ISNUMBER(MATCH(Email2!D:D, C$2:J$2, 0)) * Email2!C:C=B39 * Email2!B:B=1)-C39</f>
        <v>0</v>
      </c>
      <c r="F39" s="8">
        <f t="array" ref="F39">SUMPRODUCT(ISNUMBER(MATCH(Email2!D:D, C$2:J$2, 0)) * Email2!C:C=B39 * Email2!B:B=0)-D39</f>
        <v>0</v>
      </c>
      <c r="G39" s="8" t="str">
        <f t="shared" si="23"/>
        <v>#DIV/0!</v>
      </c>
      <c r="H39" s="8" t="str">
        <f t="shared" si="24"/>
        <v>#DIV/0!</v>
      </c>
      <c r="I39" s="8" t="str">
        <f t="shared" si="25"/>
        <v>#DIV/0!</v>
      </c>
    </row>
    <row r="40">
      <c r="A40" s="1">
        <v>4.0</v>
      </c>
      <c r="B40" s="8">
        <f t="shared" si="22"/>
        <v>1739</v>
      </c>
      <c r="C40" s="8">
        <f t="array" ref="C40">SUMPRODUCT(ISNUMBER(MATCH(Email2!D:D, C18:D18, 0)) * Email2!C:C=B40 * Email1!B:B=1)</f>
        <v>0</v>
      </c>
      <c r="D40" s="8">
        <f t="array" ref="D40">SUMPRODUCT(ISNUMBER(MATCH(Email2!D:D, C18:D18, 0)) * Email2!C:C=B40 * Email2!B:B=0)</f>
        <v>0</v>
      </c>
      <c r="E40" s="8">
        <f t="array" ref="E40">SUMPRODUCT(ISNUMBER(MATCH(Email2!D:D, C$2:J$2, 0)) * Email2!C:C=B40 * Email2!B:B=1)-C40</f>
        <v>0</v>
      </c>
      <c r="F40" s="8">
        <f t="array" ref="F40">SUMPRODUCT(ISNUMBER(MATCH(Email2!D:D, C$2:J$2, 0)) * Email2!C:C=B40 * Email2!B:B=0)-D40</f>
        <v>0</v>
      </c>
      <c r="G40" s="8" t="str">
        <f t="shared" si="23"/>
        <v>#DIV/0!</v>
      </c>
      <c r="H40" s="8" t="str">
        <f t="shared" si="24"/>
        <v>#DIV/0!</v>
      </c>
      <c r="I40" s="8" t="str">
        <f t="shared" si="25"/>
        <v>#DIV/0!</v>
      </c>
    </row>
    <row r="41">
      <c r="A41" s="1">
        <v>5.0</v>
      </c>
      <c r="B41" s="8">
        <f t="shared" si="22"/>
        <v>7925</v>
      </c>
      <c r="C41" s="8">
        <f t="array" ref="C41">SUMPRODUCT(ISNUMBER(MATCH(Email2!D:D, C19:D19, 0)) * Email2!C:C=B41 * Email1!B:B=1)</f>
        <v>0</v>
      </c>
      <c r="D41" s="8">
        <f t="array" ref="D41">SUMPRODUCT(ISNUMBER(MATCH(Email2!D:D, C19:D19, 0)) * Email2!C:C=B41 * Email2!B:B=0)</f>
        <v>0</v>
      </c>
      <c r="E41" s="8">
        <f t="array" ref="E41">SUMPRODUCT(ISNUMBER(MATCH(Email2!D:D, C$2:J$2, 0)) * Email2!C:C=B41 * Email2!B:B=1)-C41</f>
        <v>0</v>
      </c>
      <c r="F41" s="8">
        <f t="array" ref="F41">SUMPRODUCT(ISNUMBER(MATCH(Email2!D:D, C$2:J$2, 0)) * Email2!C:C=B41 * Email2!B:B=0)-D41</f>
        <v>0</v>
      </c>
      <c r="G41" s="8" t="str">
        <f t="shared" si="23"/>
        <v>#DIV/0!</v>
      </c>
      <c r="H41" s="8" t="str">
        <f t="shared" si="24"/>
        <v>#DIV/0!</v>
      </c>
      <c r="I41" s="8" t="str">
        <f t="shared" si="25"/>
        <v>#DIV/0!</v>
      </c>
    </row>
    <row r="42">
      <c r="A42" s="1">
        <v>6.0</v>
      </c>
      <c r="B42" s="8">
        <f t="shared" si="22"/>
        <v>4916</v>
      </c>
      <c r="C42" s="8">
        <f t="array" ref="C42">SUMPRODUCT(ISNUMBER(MATCH(Email2!D:D, C20:D20, 0)) * Email2!C:C=B42 * Email1!B:B=1)</f>
        <v>0</v>
      </c>
      <c r="D42" s="8">
        <f t="array" ref="D42">SUMPRODUCT(ISNUMBER(MATCH(Email2!D:D, C20:D20, 0)) * Email2!C:C=B42 * Email2!B:B=0)</f>
        <v>0</v>
      </c>
      <c r="E42" s="8">
        <f t="array" ref="E42">SUMPRODUCT(ISNUMBER(MATCH(Email2!D:D, C$2:J$2, 0)) * Email2!C:C=B42 * Email2!B:B=1)-C42</f>
        <v>0</v>
      </c>
      <c r="F42" s="8">
        <f t="array" ref="F42">SUMPRODUCT(ISNUMBER(MATCH(Email2!D:D, C$2:J$2, 0)) * Email2!C:C=B42 * Email2!B:B=0)-D42</f>
        <v>0</v>
      </c>
      <c r="G42" s="8" t="str">
        <f t="shared" si="23"/>
        <v>#DIV/0!</v>
      </c>
      <c r="H42" s="8" t="str">
        <f t="shared" si="24"/>
        <v>#DIV/0!</v>
      </c>
      <c r="I42" s="8" t="str">
        <f t="shared" si="25"/>
        <v>#DIV/0!</v>
      </c>
    </row>
    <row r="43">
      <c r="A43" s="1">
        <v>7.0</v>
      </c>
      <c r="B43" s="8">
        <f t="shared" si="22"/>
        <v>4323</v>
      </c>
      <c r="C43" s="8">
        <f t="array" ref="C43">SUMPRODUCT(ISNUMBER(MATCH(Email2!D:D, C21:D21, 0)) * Email2!C:C=B43 * Email1!B:B=1)</f>
        <v>0</v>
      </c>
      <c r="D43" s="8">
        <f t="array" ref="D43">SUMPRODUCT(ISNUMBER(MATCH(Email2!D:D, C21:D21, 0)) * Email2!C:C=B43 * Email2!B:B=0)</f>
        <v>0</v>
      </c>
      <c r="E43" s="8">
        <f t="array" ref="E43">SUMPRODUCT(ISNUMBER(MATCH(Email2!D:D, C$2:J$2, 0)) * Email2!C:C=B43 * Email2!B:B=1)-C43</f>
        <v>0</v>
      </c>
      <c r="F43" s="8">
        <f t="array" ref="F43">SUMPRODUCT(ISNUMBER(MATCH(Email2!D:D, C$2:J$2, 0)) * Email2!C:C=B43 * Email2!B:B=0)-D43</f>
        <v>0</v>
      </c>
      <c r="G43" s="8" t="str">
        <f t="shared" si="23"/>
        <v>#DIV/0!</v>
      </c>
      <c r="H43" s="8" t="str">
        <f t="shared" si="24"/>
        <v>#DIV/0!</v>
      </c>
      <c r="I43" s="8" t="str">
        <f t="shared" si="25"/>
        <v>#DIV/0!</v>
      </c>
    </row>
    <row r="44">
      <c r="A44" s="1">
        <v>8.0</v>
      </c>
      <c r="B44" s="8">
        <f t="shared" si="22"/>
        <v>4783</v>
      </c>
      <c r="C44" s="8">
        <f t="array" ref="C44">SUMPRODUCT(ISNUMBER(MATCH(Email2!D:D, C22:D22, 0)) * Email2!C:C=B44 * Email1!B:B=1)</f>
        <v>0</v>
      </c>
      <c r="D44" s="8">
        <f t="array" ref="D44">SUMPRODUCT(ISNUMBER(MATCH(Email2!D:D, C22:D22, 0)) * Email2!C:C=B44 * Email2!B:B=0)</f>
        <v>0</v>
      </c>
      <c r="E44" s="8">
        <f t="array" ref="E44">SUMPRODUCT(ISNUMBER(MATCH(Email2!D:D, C$2:J$2, 0)) * Email2!C:C=B44 * Email2!B:B=1)-C44</f>
        <v>0</v>
      </c>
      <c r="F44" s="8">
        <f t="array" ref="F44">SUMPRODUCT(ISNUMBER(MATCH(Email2!D:D, C$2:J$2, 0)) * Email2!C:C=B44 * Email2!B:B=0)-D44</f>
        <v>0</v>
      </c>
      <c r="G44" s="8" t="str">
        <f t="shared" si="23"/>
        <v>#DIV/0!</v>
      </c>
      <c r="H44" s="8" t="str">
        <f t="shared" si="24"/>
        <v>#DIV/0!</v>
      </c>
      <c r="I44" s="8" t="str">
        <f t="shared" si="25"/>
        <v>#DIV/0!</v>
      </c>
    </row>
    <row r="46">
      <c r="A46" s="1" t="s">
        <v>70</v>
      </c>
      <c r="B46" s="1" t="s">
        <v>28</v>
      </c>
      <c r="C46" s="1" t="s">
        <v>71</v>
      </c>
      <c r="D46" s="1" t="s">
        <v>72</v>
      </c>
      <c r="E46" s="1" t="s">
        <v>73</v>
      </c>
      <c r="F46" s="1" t="s">
        <v>74</v>
      </c>
      <c r="G46" s="1" t="s">
        <v>75</v>
      </c>
      <c r="H46" s="1" t="s">
        <v>76</v>
      </c>
      <c r="I46" s="1" t="s">
        <v>90</v>
      </c>
    </row>
    <row r="47">
      <c r="A47" s="1">
        <v>1.0</v>
      </c>
      <c r="B47" s="8">
        <f t="shared" ref="B47:B54" si="26">B15</f>
        <v>3928</v>
      </c>
      <c r="C47" s="8">
        <f t="array" ref="C47">SUMPRODUCT(ISNUMBER(MATCH(Email3!D:D, C15:D15, 0)) * Email3!C:C=B47 * Email3!B:B=1)</f>
        <v>0</v>
      </c>
      <c r="D47" s="8">
        <f t="array" ref="D47">SUMPRODUCT(ISNUMBER(MATCH(Email3!D:D, C15:D15, 0)) * Email3!C:C=B47 * Email3!B:B=0)</f>
        <v>0</v>
      </c>
      <c r="E47" s="8">
        <f t="array" ref="E47">SUMPRODUCT(ISNUMBER(MATCH(Email3!D:D, C$2:J$2, 0)) * Email3!C:C=B47 * Email3!B:B=1)-C47</f>
        <v>0</v>
      </c>
      <c r="F47" s="8">
        <f t="array" ref="F47">SUMPRODUCT(ISNUMBER(MATCH(Email3!D:D, C$2:J$2, 0)) * Email3!C:C=B47 * Email3!B:B=0)-D47</f>
        <v>0</v>
      </c>
      <c r="G47" s="8" t="str">
        <f t="shared" ref="G47:G54" si="27">C47/(C47+D47)</f>
        <v>#DIV/0!</v>
      </c>
      <c r="H47" s="8" t="str">
        <f t="shared" ref="H47:H54" si="28">E47/(E47+F47)</f>
        <v>#DIV/0!</v>
      </c>
      <c r="I47" s="8" t="str">
        <f t="shared" ref="I47:I54" si="29">IF(G47&gt;H47,"imposterWin", "crewWin")</f>
        <v>#DIV/0!</v>
      </c>
    </row>
    <row r="48">
      <c r="A48" s="1">
        <v>2.0</v>
      </c>
      <c r="B48" s="8">
        <f t="shared" si="26"/>
        <v>1264</v>
      </c>
      <c r="C48" s="8">
        <f t="array" ref="C48">SUMPRODUCT(ISNUMBER(MATCH(Email3!D:D, C16:D16, 0)) * Email3!C:C=B48 * Email3!B:B=1)</f>
        <v>0</v>
      </c>
      <c r="D48" s="8">
        <f t="array" ref="D48">SUMPRODUCT(ISNUMBER(MATCH(Email3!D:D, C16:D16, 0)) * Email3!C:C=B48 * Email3!B:B=0)</f>
        <v>0</v>
      </c>
      <c r="E48" s="8">
        <f t="array" ref="E48">SUMPRODUCT(ISNUMBER(MATCH(Email3!D:D, C$2:J$2, 0)) * Email3!C:C=B48 * Email3!B:B=1)-C48</f>
        <v>0</v>
      </c>
      <c r="F48" s="8">
        <f t="array" ref="F48">SUMPRODUCT(ISNUMBER(MATCH(Email3!D:D, C$2:J$2, 0)) * Email3!C:C=B48 * Email3!B:B=0)-D48</f>
        <v>0</v>
      </c>
      <c r="G48" s="8" t="str">
        <f t="shared" si="27"/>
        <v>#DIV/0!</v>
      </c>
      <c r="H48" s="8" t="str">
        <f t="shared" si="28"/>
        <v>#DIV/0!</v>
      </c>
      <c r="I48" s="8" t="str">
        <f t="shared" si="29"/>
        <v>#DIV/0!</v>
      </c>
    </row>
    <row r="49">
      <c r="A49" s="1">
        <v>3.0</v>
      </c>
      <c r="B49" s="8">
        <f t="shared" si="26"/>
        <v>3646</v>
      </c>
      <c r="C49" s="8">
        <f t="array" ref="C49">SUMPRODUCT(ISNUMBER(MATCH(Email3!D:D, C17:D17, 0)) * Email3!C:C=B49 * Email3!B:B=1)</f>
        <v>0</v>
      </c>
      <c r="D49" s="8">
        <f t="array" ref="D49">SUMPRODUCT(ISNUMBER(MATCH(Email3!D:D, C17:D17, 0)) * Email3!C:C=B49 * Email3!B:B=0)</f>
        <v>0</v>
      </c>
      <c r="E49" s="8">
        <f t="array" ref="E49">SUMPRODUCT(ISNUMBER(MATCH(Email3!D:D, C$2:J$2, 0)) * Email3!C:C=B49 * Email3!B:B=1)-C49</f>
        <v>0</v>
      </c>
      <c r="F49" s="8">
        <f t="array" ref="F49">SUMPRODUCT(ISNUMBER(MATCH(Email3!D:D, C$2:J$2, 0)) * Email3!C:C=B49 * Email3!B:B=0)-D49</f>
        <v>0</v>
      </c>
      <c r="G49" s="8" t="str">
        <f t="shared" si="27"/>
        <v>#DIV/0!</v>
      </c>
      <c r="H49" s="8" t="str">
        <f t="shared" si="28"/>
        <v>#DIV/0!</v>
      </c>
      <c r="I49" s="8" t="str">
        <f t="shared" si="29"/>
        <v>#DIV/0!</v>
      </c>
    </row>
    <row r="50">
      <c r="A50" s="1">
        <v>4.0</v>
      </c>
      <c r="B50" s="8">
        <f t="shared" si="26"/>
        <v>1739</v>
      </c>
      <c r="C50" s="8">
        <f t="array" ref="C50">SUMPRODUCT(ISNUMBER(MATCH(Email3!D:D, C18:D18, 0)) * Email3!C:C=B50 * Email3!B:B=1)</f>
        <v>0</v>
      </c>
      <c r="D50" s="8">
        <f t="array" ref="D50">SUMPRODUCT(ISNUMBER(MATCH(Email3!D:D, C18:D18, 0)) * Email3!C:C=B50 * Email3!B:B=0)</f>
        <v>0</v>
      </c>
      <c r="E50" s="8">
        <f t="array" ref="E50">SUMPRODUCT(ISNUMBER(MATCH(Email3!D:D, C$2:J$2, 0)) * Email3!C:C=B50 * Email3!B:B=1)-C50</f>
        <v>0</v>
      </c>
      <c r="F50" s="8">
        <f t="array" ref="F50">SUMPRODUCT(ISNUMBER(MATCH(Email3!D:D, C$2:J$2, 0)) * Email3!C:C=B50 * Email3!B:B=0)-D50</f>
        <v>0</v>
      </c>
      <c r="G50" s="8" t="str">
        <f t="shared" si="27"/>
        <v>#DIV/0!</v>
      </c>
      <c r="H50" s="8" t="str">
        <f t="shared" si="28"/>
        <v>#DIV/0!</v>
      </c>
      <c r="I50" s="8" t="str">
        <f t="shared" si="29"/>
        <v>#DIV/0!</v>
      </c>
    </row>
    <row r="51">
      <c r="A51" s="1">
        <v>5.0</v>
      </c>
      <c r="B51" s="8">
        <f t="shared" si="26"/>
        <v>7925</v>
      </c>
      <c r="C51" s="8">
        <f t="array" ref="C51">SUMPRODUCT(ISNUMBER(MATCH(Email3!D:D, C19:D19, 0)) * Email3!C:C=B51 * Email3!B:B=1)</f>
        <v>0</v>
      </c>
      <c r="D51" s="8">
        <f t="array" ref="D51">SUMPRODUCT(ISNUMBER(MATCH(Email3!D:D, C19:D19, 0)) * Email3!C:C=B51 * Email3!B:B=0)</f>
        <v>0</v>
      </c>
      <c r="E51" s="8">
        <f t="array" ref="E51">SUMPRODUCT(ISNUMBER(MATCH(Email3!D:D, C$2:J$2, 0)) * Email3!C:C=B51 * Email3!B:B=1)-C51</f>
        <v>0</v>
      </c>
      <c r="F51" s="8">
        <f t="array" ref="F51">SUMPRODUCT(ISNUMBER(MATCH(Email3!D:D, C$2:J$2, 0)) * Email3!C:C=B51 * Email3!B:B=0)-D51</f>
        <v>0</v>
      </c>
      <c r="G51" s="8" t="str">
        <f t="shared" si="27"/>
        <v>#DIV/0!</v>
      </c>
      <c r="H51" s="8" t="str">
        <f t="shared" si="28"/>
        <v>#DIV/0!</v>
      </c>
      <c r="I51" s="8" t="str">
        <f t="shared" si="29"/>
        <v>#DIV/0!</v>
      </c>
    </row>
    <row r="52">
      <c r="A52" s="1">
        <v>6.0</v>
      </c>
      <c r="B52" s="8">
        <f t="shared" si="26"/>
        <v>4916</v>
      </c>
      <c r="C52" s="8">
        <f t="array" ref="C52">SUMPRODUCT(ISNUMBER(MATCH(Email3!D:D, C20:D20, 0)) * Email3!C:C=B52 * Email3!B:B=1)</f>
        <v>0</v>
      </c>
      <c r="D52" s="8">
        <f t="array" ref="D52">SUMPRODUCT(ISNUMBER(MATCH(Email3!D:D, C20:D20, 0)) * Email3!C:C=B52 * Email3!B:B=0)</f>
        <v>0</v>
      </c>
      <c r="E52" s="8">
        <f t="array" ref="E52">SUMPRODUCT(ISNUMBER(MATCH(Email3!D:D, C$2:J$2, 0)) * Email3!C:C=B52 * Email3!B:B=1)-C52</f>
        <v>0</v>
      </c>
      <c r="F52" s="8">
        <f t="array" ref="F52">SUMPRODUCT(ISNUMBER(MATCH(Email3!D:D, C$2:J$2, 0)) * Email3!C:C=B52 * Email3!B:B=0)-D52</f>
        <v>0</v>
      </c>
      <c r="G52" s="8" t="str">
        <f t="shared" si="27"/>
        <v>#DIV/0!</v>
      </c>
      <c r="H52" s="8" t="str">
        <f t="shared" si="28"/>
        <v>#DIV/0!</v>
      </c>
      <c r="I52" s="8" t="str">
        <f t="shared" si="29"/>
        <v>#DIV/0!</v>
      </c>
    </row>
    <row r="53">
      <c r="A53" s="1">
        <v>7.0</v>
      </c>
      <c r="B53" s="8">
        <f t="shared" si="26"/>
        <v>4323</v>
      </c>
      <c r="C53" s="8">
        <f t="array" ref="C53">SUMPRODUCT(ISNUMBER(MATCH(Email3!D:D, C21:D21, 0)) * Email3!C:C=B53 * Email3!B:B=1)</f>
        <v>0</v>
      </c>
      <c r="D53" s="8">
        <f t="array" ref="D53">SUMPRODUCT(ISNUMBER(MATCH(Email3!D:D, C21:D21, 0)) * Email3!C:C=B53 * Email3!B:B=0)</f>
        <v>0</v>
      </c>
      <c r="E53" s="8">
        <f t="array" ref="E53">SUMPRODUCT(ISNUMBER(MATCH(Email3!D:D, C$2:J$2, 0)) * Email3!C:C=B53 * Email3!B:B=1)-C53</f>
        <v>0</v>
      </c>
      <c r="F53" s="8">
        <f t="array" ref="F53">SUMPRODUCT(ISNUMBER(MATCH(Email3!D:D, C$2:J$2, 0)) * Email3!C:C=B53 * Email3!B:B=0)-D53</f>
        <v>0</v>
      </c>
      <c r="G53" s="8" t="str">
        <f t="shared" si="27"/>
        <v>#DIV/0!</v>
      </c>
      <c r="H53" s="8" t="str">
        <f t="shared" si="28"/>
        <v>#DIV/0!</v>
      </c>
      <c r="I53" s="8" t="str">
        <f t="shared" si="29"/>
        <v>#DIV/0!</v>
      </c>
    </row>
    <row r="54">
      <c r="A54" s="1">
        <v>8.0</v>
      </c>
      <c r="B54" s="8">
        <f t="shared" si="26"/>
        <v>4783</v>
      </c>
      <c r="C54" s="8">
        <f t="array" ref="C54">SUMPRODUCT(ISNUMBER(MATCH(Email3!D:D, C22:D22, 0)) * Email3!C:C=B54 * Email3!B:B=1)</f>
        <v>0</v>
      </c>
      <c r="D54" s="8">
        <f t="array" ref="D54">SUMPRODUCT(ISNUMBER(MATCH(Email3!D:D, C22:D22, 0)) * Email3!C:C=B54 * Email3!B:B=0)</f>
        <v>0</v>
      </c>
      <c r="E54" s="8">
        <f t="array" ref="E54">SUMPRODUCT(ISNUMBER(MATCH(Email3!D:D, C$2:J$2, 0)) * Email3!C:C=B54 * Email3!B:B=1)-C54</f>
        <v>0</v>
      </c>
      <c r="F54" s="8">
        <f t="array" ref="F54">SUMPRODUCT(ISNUMBER(MATCH(Email3!D:D, C$2:J$2, 0)) * Email3!C:C=B54 * Email3!B:B=0)-D54</f>
        <v>0</v>
      </c>
      <c r="G54" s="8" t="str">
        <f t="shared" si="27"/>
        <v>#DIV/0!</v>
      </c>
      <c r="H54" s="8" t="str">
        <f t="shared" si="28"/>
        <v>#DIV/0!</v>
      </c>
      <c r="I54" s="8" t="str">
        <f t="shared" si="29"/>
        <v>#DIV/0!</v>
      </c>
    </row>
    <row r="180">
      <c r="K180" s="8" t="b">
        <f t="array" ref="K180:K297">ISNUMBER(MATCH(Email1r!D2:D1002, C15:D15, 0))</f>
        <v>0</v>
      </c>
      <c r="L180" s="1" t="b">
        <f t="array" ref="L180:L297">Email1r!C2:C1002=B27</f>
        <v>0</v>
      </c>
      <c r="M180" s="8" t="b">
        <f t="array" ref="M180:M297">Email1r!B2:B1002=0</f>
        <v>1</v>
      </c>
    </row>
    <row r="181">
      <c r="K181" s="8" t="b">
        <v>0</v>
      </c>
      <c r="L181" s="8" t="b">
        <v>0</v>
      </c>
      <c r="M181" s="8" t="b">
        <v>1</v>
      </c>
    </row>
    <row r="182">
      <c r="K182" s="8" t="b">
        <v>0</v>
      </c>
      <c r="L182" s="8" t="b">
        <v>0</v>
      </c>
      <c r="M182" s="8" t="b">
        <v>1</v>
      </c>
    </row>
    <row r="183">
      <c r="K183" s="8" t="b">
        <v>0</v>
      </c>
      <c r="L183" s="8" t="b">
        <v>0</v>
      </c>
      <c r="M183" s="8" t="b">
        <v>1</v>
      </c>
    </row>
    <row r="184">
      <c r="K184" s="8" t="b">
        <v>0</v>
      </c>
      <c r="L184" s="8" t="b">
        <v>0</v>
      </c>
      <c r="M184" s="8" t="b">
        <v>1</v>
      </c>
    </row>
    <row r="185">
      <c r="K185" s="8" t="b">
        <v>0</v>
      </c>
      <c r="L185" s="8" t="b">
        <v>0</v>
      </c>
      <c r="M185" s="8" t="b">
        <v>1</v>
      </c>
    </row>
    <row r="186">
      <c r="K186" s="8" t="b">
        <v>0</v>
      </c>
      <c r="L186" s="8" t="b">
        <v>0</v>
      </c>
      <c r="M186" s="8" t="b">
        <v>1</v>
      </c>
    </row>
    <row r="187">
      <c r="K187" s="8" t="b">
        <v>0</v>
      </c>
      <c r="L187" s="8" t="b">
        <v>0</v>
      </c>
      <c r="M187" s="8" t="b">
        <v>1</v>
      </c>
    </row>
    <row r="188">
      <c r="K188" s="8" t="b">
        <v>0</v>
      </c>
      <c r="L188" s="8" t="b">
        <v>0</v>
      </c>
      <c r="M188" s="8" t="b">
        <v>1</v>
      </c>
    </row>
    <row r="189">
      <c r="K189" s="8" t="b">
        <v>0</v>
      </c>
      <c r="L189" s="8" t="b">
        <v>0</v>
      </c>
      <c r="M189" s="8" t="b">
        <v>1</v>
      </c>
    </row>
    <row r="190">
      <c r="K190" s="8" t="b">
        <v>0</v>
      </c>
      <c r="L190" s="8" t="b">
        <v>0</v>
      </c>
      <c r="M190" s="8" t="b">
        <v>1</v>
      </c>
    </row>
    <row r="191">
      <c r="K191" s="8" t="b">
        <v>0</v>
      </c>
      <c r="L191" s="8" t="b">
        <v>0</v>
      </c>
      <c r="M191" s="8" t="b">
        <v>1</v>
      </c>
    </row>
    <row r="192">
      <c r="K192" s="8" t="b">
        <v>0</v>
      </c>
      <c r="L192" s="8" t="b">
        <v>0</v>
      </c>
      <c r="M192" s="8" t="b">
        <v>1</v>
      </c>
    </row>
    <row r="193">
      <c r="K193" s="8" t="b">
        <v>0</v>
      </c>
      <c r="L193" s="8" t="b">
        <v>0</v>
      </c>
      <c r="M193" s="8" t="b">
        <v>1</v>
      </c>
    </row>
    <row r="194">
      <c r="K194" s="8" t="b">
        <v>0</v>
      </c>
      <c r="L194" s="8" t="b">
        <v>0</v>
      </c>
      <c r="M194" s="8" t="b">
        <v>1</v>
      </c>
    </row>
    <row r="195">
      <c r="K195" s="8" t="b">
        <v>0</v>
      </c>
      <c r="L195" s="8" t="b">
        <v>0</v>
      </c>
      <c r="M195" s="8" t="b">
        <v>1</v>
      </c>
    </row>
    <row r="196">
      <c r="K196" s="8" t="b">
        <v>0</v>
      </c>
      <c r="L196" s="8" t="b">
        <v>0</v>
      </c>
      <c r="M196" s="8" t="b">
        <v>1</v>
      </c>
    </row>
    <row r="197">
      <c r="K197" s="8" t="b">
        <v>0</v>
      </c>
      <c r="L197" s="8" t="b">
        <v>0</v>
      </c>
      <c r="M197" s="8" t="b">
        <v>0</v>
      </c>
    </row>
    <row r="198">
      <c r="K198" s="8" t="b">
        <v>0</v>
      </c>
      <c r="L198" s="8" t="b">
        <v>0</v>
      </c>
      <c r="M198" s="8" t="b">
        <v>1</v>
      </c>
    </row>
    <row r="199">
      <c r="K199" s="8" t="b">
        <v>0</v>
      </c>
      <c r="L199" s="8" t="b">
        <v>0</v>
      </c>
      <c r="M199" s="8" t="b">
        <v>1</v>
      </c>
    </row>
    <row r="200">
      <c r="K200" s="8" t="b">
        <v>0</v>
      </c>
      <c r="L200" s="8" t="b">
        <v>0</v>
      </c>
      <c r="M200" s="8" t="b">
        <v>1</v>
      </c>
    </row>
    <row r="201">
      <c r="K201" s="8" t="b">
        <v>0</v>
      </c>
      <c r="L201" s="8" t="b">
        <v>0</v>
      </c>
      <c r="M201" s="8" t="b">
        <v>1</v>
      </c>
    </row>
    <row r="202">
      <c r="K202" s="8" t="b">
        <v>0</v>
      </c>
      <c r="L202" s="8" t="b">
        <v>0</v>
      </c>
      <c r="M202" s="8" t="b">
        <v>1</v>
      </c>
    </row>
    <row r="203">
      <c r="K203" s="8" t="b">
        <v>0</v>
      </c>
      <c r="L203" s="8" t="b">
        <v>0</v>
      </c>
      <c r="M203" s="8" t="b">
        <v>1</v>
      </c>
    </row>
    <row r="204">
      <c r="K204" s="8" t="b">
        <v>0</v>
      </c>
      <c r="L204" s="8" t="b">
        <v>0</v>
      </c>
      <c r="M204" s="8" t="b">
        <v>1</v>
      </c>
    </row>
    <row r="205">
      <c r="K205" s="8" t="b">
        <v>0</v>
      </c>
      <c r="L205" s="8" t="b">
        <v>0</v>
      </c>
      <c r="M205" s="8" t="b">
        <v>1</v>
      </c>
    </row>
    <row r="206">
      <c r="K206" s="8" t="b">
        <v>0</v>
      </c>
      <c r="L206" s="8" t="b">
        <v>0</v>
      </c>
      <c r="M206" s="8" t="b">
        <v>1</v>
      </c>
    </row>
    <row r="207">
      <c r="K207" s="8" t="b">
        <v>0</v>
      </c>
      <c r="L207" s="8" t="b">
        <v>0</v>
      </c>
      <c r="M207" s="8" t="b">
        <v>1</v>
      </c>
    </row>
    <row r="208">
      <c r="K208" s="8" t="b">
        <v>0</v>
      </c>
      <c r="L208" s="8" t="b">
        <v>0</v>
      </c>
      <c r="M208" s="8" t="b">
        <v>1</v>
      </c>
    </row>
    <row r="209">
      <c r="K209" s="8" t="b">
        <v>0</v>
      </c>
      <c r="L209" s="8" t="b">
        <v>0</v>
      </c>
      <c r="M209" s="8" t="b">
        <v>1</v>
      </c>
    </row>
    <row r="210">
      <c r="K210" s="8" t="b">
        <v>0</v>
      </c>
      <c r="L210" s="8" t="b">
        <v>0</v>
      </c>
      <c r="M210" s="8" t="b">
        <v>1</v>
      </c>
    </row>
    <row r="211">
      <c r="K211" s="8" t="b">
        <v>0</v>
      </c>
      <c r="L211" s="8" t="b">
        <v>0</v>
      </c>
      <c r="M211" s="8" t="b">
        <v>1</v>
      </c>
    </row>
    <row r="212">
      <c r="K212" s="8" t="b">
        <v>0</v>
      </c>
      <c r="L212" s="8" t="b">
        <v>0</v>
      </c>
      <c r="M212" s="8" t="b">
        <v>1</v>
      </c>
    </row>
    <row r="213">
      <c r="K213" s="8" t="b">
        <v>0</v>
      </c>
      <c r="L213" s="8" t="b">
        <v>0</v>
      </c>
      <c r="M213" s="8" t="b">
        <v>1</v>
      </c>
    </row>
    <row r="214">
      <c r="K214" s="8" t="b">
        <v>0</v>
      </c>
      <c r="L214" s="8" t="b">
        <v>0</v>
      </c>
      <c r="M214" s="8" t="b">
        <v>1</v>
      </c>
    </row>
    <row r="215">
      <c r="K215" s="8" t="b">
        <v>0</v>
      </c>
      <c r="L215" s="8" t="b">
        <v>0</v>
      </c>
      <c r="M215" s="8" t="b">
        <v>1</v>
      </c>
    </row>
    <row r="216">
      <c r="K216" s="8" t="b">
        <v>0</v>
      </c>
      <c r="L216" s="8" t="b">
        <v>0</v>
      </c>
      <c r="M216" s="8" t="b">
        <v>1</v>
      </c>
    </row>
    <row r="217">
      <c r="K217" s="8" t="b">
        <v>0</v>
      </c>
      <c r="L217" s="8" t="b">
        <v>0</v>
      </c>
      <c r="M217" s="8" t="b">
        <v>1</v>
      </c>
    </row>
    <row r="218">
      <c r="K218" s="8" t="b">
        <v>0</v>
      </c>
      <c r="L218" s="8" t="b">
        <v>0</v>
      </c>
      <c r="M218" s="8" t="b">
        <v>1</v>
      </c>
    </row>
    <row r="219">
      <c r="K219" s="8" t="b">
        <v>0</v>
      </c>
      <c r="L219" s="8" t="b">
        <v>0</v>
      </c>
      <c r="M219" s="8" t="b">
        <v>1</v>
      </c>
    </row>
    <row r="220">
      <c r="K220" s="8" t="b">
        <v>0</v>
      </c>
      <c r="L220" s="8" t="b">
        <v>0</v>
      </c>
      <c r="M220" s="8" t="b">
        <v>1</v>
      </c>
    </row>
    <row r="221">
      <c r="K221" s="8" t="b">
        <v>0</v>
      </c>
      <c r="L221" s="8" t="b">
        <v>0</v>
      </c>
      <c r="M221" s="8" t="b">
        <v>1</v>
      </c>
    </row>
    <row r="222">
      <c r="K222" s="8" t="b">
        <v>0</v>
      </c>
      <c r="L222" s="8" t="b">
        <v>0</v>
      </c>
      <c r="M222" s="8" t="b">
        <v>1</v>
      </c>
    </row>
    <row r="223">
      <c r="K223" s="8" t="b">
        <v>0</v>
      </c>
      <c r="L223" s="8" t="b">
        <v>0</v>
      </c>
      <c r="M223" s="8" t="b">
        <v>1</v>
      </c>
    </row>
    <row r="224">
      <c r="K224" s="8" t="b">
        <v>0</v>
      </c>
      <c r="L224" s="8" t="b">
        <v>0</v>
      </c>
      <c r="M224" s="8" t="b">
        <v>1</v>
      </c>
    </row>
    <row r="225">
      <c r="K225" s="8" t="b">
        <v>0</v>
      </c>
      <c r="L225" s="8" t="b">
        <v>0</v>
      </c>
      <c r="M225" s="8" t="b">
        <v>1</v>
      </c>
    </row>
    <row r="226">
      <c r="K226" s="8" t="b">
        <v>0</v>
      </c>
      <c r="L226" s="8" t="b">
        <v>0</v>
      </c>
      <c r="M226" s="8" t="b">
        <v>1</v>
      </c>
    </row>
    <row r="227">
      <c r="K227" s="8" t="b">
        <v>0</v>
      </c>
      <c r="L227" s="8" t="b">
        <v>0</v>
      </c>
      <c r="M227" s="8" t="b">
        <v>1</v>
      </c>
    </row>
    <row r="228">
      <c r="K228" s="8" t="b">
        <v>0</v>
      </c>
      <c r="L228" s="8" t="b">
        <v>0</v>
      </c>
      <c r="M228" s="8" t="b">
        <v>1</v>
      </c>
    </row>
    <row r="229">
      <c r="K229" s="8" t="b">
        <v>0</v>
      </c>
      <c r="L229" s="8" t="b">
        <v>0</v>
      </c>
      <c r="M229" s="8" t="b">
        <v>1</v>
      </c>
    </row>
    <row r="230">
      <c r="K230" s="8" t="b">
        <v>0</v>
      </c>
      <c r="L230" s="8" t="b">
        <v>0</v>
      </c>
      <c r="M230" s="8" t="b">
        <v>1</v>
      </c>
    </row>
    <row r="231">
      <c r="K231" s="8" t="b">
        <v>0</v>
      </c>
      <c r="L231" s="8" t="b">
        <v>0</v>
      </c>
      <c r="M231" s="8" t="b">
        <v>1</v>
      </c>
    </row>
    <row r="232">
      <c r="K232" s="8" t="b">
        <v>0</v>
      </c>
      <c r="L232" s="8" t="b">
        <v>0</v>
      </c>
      <c r="M232" s="8" t="b">
        <v>1</v>
      </c>
    </row>
    <row r="233">
      <c r="K233" s="8" t="b">
        <v>0</v>
      </c>
      <c r="L233" s="8" t="b">
        <v>0</v>
      </c>
      <c r="M233" s="8" t="b">
        <v>1</v>
      </c>
    </row>
    <row r="234">
      <c r="K234" s="8" t="b">
        <v>0</v>
      </c>
      <c r="L234" s="8" t="b">
        <v>0</v>
      </c>
      <c r="M234" s="8" t="b">
        <v>1</v>
      </c>
    </row>
    <row r="235">
      <c r="K235" s="8" t="b">
        <v>0</v>
      </c>
      <c r="L235" s="8" t="b">
        <v>0</v>
      </c>
      <c r="M235" s="8" t="b">
        <v>1</v>
      </c>
    </row>
    <row r="236">
      <c r="K236" s="8" t="b">
        <v>0</v>
      </c>
      <c r="L236" s="8" t="b">
        <v>0</v>
      </c>
      <c r="M236" s="8" t="b">
        <v>1</v>
      </c>
    </row>
    <row r="237">
      <c r="K237" s="8" t="b">
        <v>0</v>
      </c>
      <c r="L237" s="8" t="b">
        <v>0</v>
      </c>
      <c r="M237" s="8" t="b">
        <v>1</v>
      </c>
    </row>
    <row r="238">
      <c r="K238" s="8" t="b">
        <v>0</v>
      </c>
      <c r="L238" s="8" t="b">
        <v>0</v>
      </c>
      <c r="M238" s="8" t="b">
        <v>1</v>
      </c>
    </row>
    <row r="239">
      <c r="K239" s="8" t="b">
        <v>0</v>
      </c>
      <c r="L239" s="8" t="b">
        <v>0</v>
      </c>
      <c r="M239" s="8" t="b">
        <v>1</v>
      </c>
    </row>
    <row r="240">
      <c r="K240" s="8" t="b">
        <v>0</v>
      </c>
      <c r="L240" s="8" t="b">
        <v>0</v>
      </c>
      <c r="M240" s="8" t="b">
        <v>1</v>
      </c>
    </row>
    <row r="241">
      <c r="K241" s="8" t="b">
        <v>0</v>
      </c>
      <c r="L241" s="8" t="b">
        <v>0</v>
      </c>
      <c r="M241" s="8" t="b">
        <v>1</v>
      </c>
    </row>
    <row r="242">
      <c r="K242" s="8" t="b">
        <v>0</v>
      </c>
      <c r="L242" s="8" t="b">
        <v>0</v>
      </c>
      <c r="M242" s="8" t="b">
        <v>1</v>
      </c>
    </row>
    <row r="243">
      <c r="K243" s="8" t="b">
        <v>0</v>
      </c>
      <c r="L243" s="8" t="b">
        <v>0</v>
      </c>
      <c r="M243" s="8" t="b">
        <v>1</v>
      </c>
    </row>
    <row r="244">
      <c r="K244" s="8" t="b">
        <v>0</v>
      </c>
      <c r="L244" s="8" t="b">
        <v>0</v>
      </c>
      <c r="M244" s="8" t="b">
        <v>1</v>
      </c>
    </row>
    <row r="245">
      <c r="K245" s="8" t="b">
        <v>0</v>
      </c>
      <c r="L245" s="8" t="b">
        <v>0</v>
      </c>
      <c r="M245" s="8" t="b">
        <v>1</v>
      </c>
    </row>
    <row r="246">
      <c r="K246" s="8" t="b">
        <v>0</v>
      </c>
      <c r="L246" s="8" t="b">
        <v>0</v>
      </c>
      <c r="M246" s="8" t="b">
        <v>1</v>
      </c>
    </row>
    <row r="247">
      <c r="K247" s="8" t="b">
        <v>0</v>
      </c>
      <c r="L247" s="8" t="b">
        <v>0</v>
      </c>
      <c r="M247" s="8" t="b">
        <v>1</v>
      </c>
    </row>
    <row r="248">
      <c r="K248" s="8" t="b">
        <v>0</v>
      </c>
      <c r="L248" s="8" t="b">
        <v>0</v>
      </c>
      <c r="M248" s="8" t="b">
        <v>1</v>
      </c>
    </row>
    <row r="249">
      <c r="K249" s="8" t="b">
        <v>0</v>
      </c>
      <c r="L249" s="8" t="b">
        <v>0</v>
      </c>
      <c r="M249" s="8" t="b">
        <v>1</v>
      </c>
    </row>
    <row r="250">
      <c r="K250" s="8" t="b">
        <v>0</v>
      </c>
      <c r="L250" s="8" t="b">
        <v>0</v>
      </c>
      <c r="M250" s="8" t="b">
        <v>1</v>
      </c>
    </row>
    <row r="251">
      <c r="K251" s="8" t="b">
        <v>0</v>
      </c>
      <c r="L251" s="8" t="b">
        <v>0</v>
      </c>
      <c r="M251" s="8" t="b">
        <v>1</v>
      </c>
    </row>
    <row r="252">
      <c r="K252" s="8" t="b">
        <v>0</v>
      </c>
      <c r="L252" s="8" t="b">
        <v>0</v>
      </c>
      <c r="M252" s="8" t="b">
        <v>1</v>
      </c>
    </row>
    <row r="253">
      <c r="K253" s="8" t="b">
        <v>0</v>
      </c>
      <c r="L253" s="8" t="b">
        <v>0</v>
      </c>
      <c r="M253" s="8" t="b">
        <v>1</v>
      </c>
    </row>
    <row r="254">
      <c r="K254" s="8" t="b">
        <v>0</v>
      </c>
      <c r="L254" s="8" t="b">
        <v>0</v>
      </c>
      <c r="M254" s="8" t="b">
        <v>1</v>
      </c>
    </row>
    <row r="255">
      <c r="K255" s="8" t="b">
        <v>0</v>
      </c>
      <c r="L255" s="8" t="b">
        <v>0</v>
      </c>
      <c r="M255" s="8" t="b">
        <v>1</v>
      </c>
    </row>
    <row r="256">
      <c r="K256" s="8" t="b">
        <v>0</v>
      </c>
      <c r="L256" s="8" t="b">
        <v>0</v>
      </c>
      <c r="M256" s="8" t="b">
        <v>1</v>
      </c>
    </row>
    <row r="257">
      <c r="K257" s="8" t="b">
        <v>0</v>
      </c>
      <c r="L257" s="8" t="b">
        <v>0</v>
      </c>
      <c r="M257" s="8" t="b">
        <v>1</v>
      </c>
    </row>
    <row r="258">
      <c r="K258" s="8" t="b">
        <v>0</v>
      </c>
      <c r="L258" s="8" t="b">
        <v>0</v>
      </c>
      <c r="M258" s="8" t="b">
        <v>1</v>
      </c>
    </row>
    <row r="259">
      <c r="K259" s="8" t="b">
        <v>0</v>
      </c>
      <c r="L259" s="8" t="b">
        <v>0</v>
      </c>
      <c r="M259" s="8" t="b">
        <v>1</v>
      </c>
    </row>
    <row r="260">
      <c r="K260" s="8" t="b">
        <v>0</v>
      </c>
      <c r="L260" s="8" t="b">
        <v>0</v>
      </c>
      <c r="M260" s="8" t="b">
        <v>1</v>
      </c>
    </row>
    <row r="261">
      <c r="K261" s="8" t="b">
        <v>0</v>
      </c>
      <c r="L261" s="8" t="b">
        <v>0</v>
      </c>
      <c r="M261" s="8" t="b">
        <v>1</v>
      </c>
    </row>
    <row r="262">
      <c r="K262" s="8" t="b">
        <v>0</v>
      </c>
      <c r="L262" s="8" t="b">
        <v>0</v>
      </c>
      <c r="M262" s="8" t="b">
        <v>1</v>
      </c>
    </row>
    <row r="263">
      <c r="K263" s="8" t="b">
        <v>0</v>
      </c>
      <c r="L263" s="8" t="b">
        <v>0</v>
      </c>
      <c r="M263" s="8" t="b">
        <v>1</v>
      </c>
    </row>
    <row r="264">
      <c r="K264" s="8" t="b">
        <v>0</v>
      </c>
      <c r="L264" s="8" t="b">
        <v>0</v>
      </c>
      <c r="M264" s="8" t="b">
        <v>1</v>
      </c>
    </row>
    <row r="265">
      <c r="K265" s="8" t="b">
        <v>0</v>
      </c>
      <c r="L265" s="8" t="b">
        <v>0</v>
      </c>
      <c r="M265" s="8" t="b">
        <v>1</v>
      </c>
    </row>
    <row r="266">
      <c r="K266" s="8" t="b">
        <v>0</v>
      </c>
      <c r="L266" s="8" t="b">
        <v>0</v>
      </c>
      <c r="M266" s="8" t="b">
        <v>1</v>
      </c>
    </row>
    <row r="267">
      <c r="K267" s="8" t="b">
        <v>0</v>
      </c>
      <c r="L267" s="8" t="b">
        <v>0</v>
      </c>
      <c r="M267" s="8" t="b">
        <v>1</v>
      </c>
    </row>
    <row r="268">
      <c r="K268" s="8" t="b">
        <v>0</v>
      </c>
      <c r="L268" s="8" t="b">
        <v>0</v>
      </c>
      <c r="M268" s="8" t="b">
        <v>1</v>
      </c>
    </row>
    <row r="269">
      <c r="K269" s="8" t="b">
        <v>0</v>
      </c>
      <c r="L269" s="8" t="b">
        <v>0</v>
      </c>
      <c r="M269" s="8" t="b">
        <v>1</v>
      </c>
    </row>
    <row r="270">
      <c r="K270" s="8" t="b">
        <v>0</v>
      </c>
      <c r="L270" s="8" t="b">
        <v>0</v>
      </c>
      <c r="M270" s="8" t="b">
        <v>1</v>
      </c>
    </row>
    <row r="271">
      <c r="K271" s="8" t="b">
        <v>0</v>
      </c>
      <c r="L271" s="8" t="b">
        <v>0</v>
      </c>
      <c r="M271" s="8" t="b">
        <v>1</v>
      </c>
    </row>
    <row r="272">
      <c r="K272" s="8" t="b">
        <v>0</v>
      </c>
      <c r="L272" s="8" t="b">
        <v>0</v>
      </c>
      <c r="M272" s="8" t="b">
        <v>1</v>
      </c>
    </row>
    <row r="273">
      <c r="K273" s="8" t="b">
        <v>0</v>
      </c>
      <c r="L273" s="8" t="b">
        <v>0</v>
      </c>
      <c r="M273" s="8" t="b">
        <v>1</v>
      </c>
    </row>
    <row r="274">
      <c r="K274" s="8" t="b">
        <v>0</v>
      </c>
      <c r="L274" s="8" t="b">
        <v>0</v>
      </c>
      <c r="M274" s="8" t="b">
        <v>1</v>
      </c>
    </row>
    <row r="275">
      <c r="K275" s="8" t="b">
        <v>0</v>
      </c>
      <c r="L275" s="8" t="b">
        <v>0</v>
      </c>
      <c r="M275" s="8" t="b">
        <v>1</v>
      </c>
    </row>
    <row r="276">
      <c r="K276" s="8" t="b">
        <v>0</v>
      </c>
      <c r="L276" s="8" t="b">
        <v>0</v>
      </c>
      <c r="M276" s="8" t="b">
        <v>1</v>
      </c>
    </row>
    <row r="277">
      <c r="K277" s="8" t="b">
        <v>0</v>
      </c>
      <c r="L277" s="8" t="b">
        <v>0</v>
      </c>
      <c r="M277" s="8" t="b">
        <v>1</v>
      </c>
    </row>
    <row r="278">
      <c r="K278" s="8" t="b">
        <v>0</v>
      </c>
      <c r="L278" s="8" t="b">
        <v>0</v>
      </c>
      <c r="M278" s="8" t="b">
        <v>1</v>
      </c>
    </row>
    <row r="279">
      <c r="K279" s="8" t="b">
        <v>0</v>
      </c>
      <c r="L279" s="8" t="b">
        <v>0</v>
      </c>
      <c r="M279" s="8" t="b">
        <v>1</v>
      </c>
    </row>
    <row r="280">
      <c r="K280" s="8" t="b">
        <v>0</v>
      </c>
      <c r="L280" s="8" t="b">
        <v>0</v>
      </c>
      <c r="M280" s="8" t="b">
        <v>1</v>
      </c>
    </row>
    <row r="281">
      <c r="K281" s="8" t="b">
        <v>0</v>
      </c>
      <c r="L281" s="8" t="b">
        <v>0</v>
      </c>
      <c r="M281" s="8" t="b">
        <v>1</v>
      </c>
    </row>
    <row r="282">
      <c r="K282" s="8" t="b">
        <v>0</v>
      </c>
      <c r="L282" s="8" t="b">
        <v>0</v>
      </c>
      <c r="M282" s="8" t="b">
        <v>1</v>
      </c>
    </row>
    <row r="283">
      <c r="K283" s="8" t="b">
        <v>0</v>
      </c>
      <c r="L283" s="8" t="b">
        <v>0</v>
      </c>
      <c r="M283" s="8" t="b">
        <v>1</v>
      </c>
    </row>
    <row r="284">
      <c r="K284" s="8" t="b">
        <v>0</v>
      </c>
      <c r="L284" s="8" t="b">
        <v>0</v>
      </c>
      <c r="M284" s="8" t="b">
        <v>1</v>
      </c>
    </row>
    <row r="285">
      <c r="K285" s="8" t="b">
        <v>0</v>
      </c>
      <c r="L285" s="8" t="b">
        <v>0</v>
      </c>
      <c r="M285" s="8" t="b">
        <v>1</v>
      </c>
    </row>
    <row r="286">
      <c r="K286" s="8" t="b">
        <v>0</v>
      </c>
      <c r="L286" s="8" t="b">
        <v>0</v>
      </c>
      <c r="M286" s="8" t="b">
        <v>1</v>
      </c>
    </row>
    <row r="287">
      <c r="K287" s="8" t="b">
        <v>0</v>
      </c>
      <c r="L287" s="8" t="b">
        <v>0</v>
      </c>
      <c r="M287" s="8" t="b">
        <v>1</v>
      </c>
    </row>
    <row r="288">
      <c r="K288" s="8" t="b">
        <v>0</v>
      </c>
      <c r="L288" s="8" t="b">
        <v>0</v>
      </c>
      <c r="M288" s="8" t="b">
        <v>1</v>
      </c>
    </row>
    <row r="289">
      <c r="K289" s="8" t="b">
        <v>0</v>
      </c>
      <c r="L289" s="8" t="b">
        <v>0</v>
      </c>
      <c r="M289" s="8" t="b">
        <v>1</v>
      </c>
    </row>
    <row r="290">
      <c r="K290" s="8" t="b">
        <v>0</v>
      </c>
      <c r="L290" s="8" t="b">
        <v>0</v>
      </c>
      <c r="M290" s="8" t="b">
        <v>1</v>
      </c>
    </row>
    <row r="291">
      <c r="K291" s="8" t="b">
        <v>0</v>
      </c>
      <c r="L291" s="8" t="b">
        <v>0</v>
      </c>
      <c r="M291" s="8" t="b">
        <v>1</v>
      </c>
    </row>
    <row r="292">
      <c r="K292" s="8" t="b">
        <v>0</v>
      </c>
      <c r="L292" s="8" t="b">
        <v>0</v>
      </c>
      <c r="M292" s="8" t="b">
        <v>1</v>
      </c>
    </row>
    <row r="293">
      <c r="K293" s="8" t="b">
        <v>0</v>
      </c>
      <c r="L293" s="8" t="b">
        <v>0</v>
      </c>
      <c r="M293" s="8" t="b">
        <v>1</v>
      </c>
    </row>
    <row r="294">
      <c r="K294" s="8" t="b">
        <v>0</v>
      </c>
      <c r="L294" s="8" t="b">
        <v>0</v>
      </c>
      <c r="M294" s="8" t="b">
        <v>1</v>
      </c>
    </row>
    <row r="295">
      <c r="K295" s="8" t="b">
        <v>0</v>
      </c>
      <c r="L295" s="8" t="b">
        <v>0</v>
      </c>
      <c r="M295" s="8" t="b">
        <v>1</v>
      </c>
    </row>
    <row r="296">
      <c r="K296" s="8" t="b">
        <v>0</v>
      </c>
      <c r="L296" s="8" t="b">
        <v>0</v>
      </c>
      <c r="M296" s="8" t="b">
        <v>1</v>
      </c>
    </row>
    <row r="297">
      <c r="K297" s="8" t="b">
        <v>0</v>
      </c>
      <c r="L297" s="8" t="b">
        <v>0</v>
      </c>
      <c r="M297" s="8" t="b">
        <v>1</v>
      </c>
    </row>
  </sheetData>
  <conditionalFormatting sqref="I1:I1002">
    <cfRule type="containsText" dxfId="5" priority="1" operator="containsText" text="crewWin">
      <formula>NOT(ISERROR(SEARCH(("crewWin"),(I1))))</formula>
    </cfRule>
  </conditionalFormatting>
  <conditionalFormatting sqref="I1:I1002">
    <cfRule type="containsText" dxfId="6" priority="2" operator="containsText" text="imposterWin">
      <formula>NOT(ISERROR(SEARCH(("imposterWin"),(I1))))</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outlineLevelRow="1"/>
  <cols>
    <col customWidth="1" min="1" max="1" width="18.88"/>
    <col customWidth="1" min="2" max="2" width="31.13"/>
    <col customWidth="1" min="3" max="3" width="27.63"/>
    <col customWidth="1" min="4" max="4" width="89.63"/>
    <col customWidth="1" min="5" max="10" width="18.88"/>
  </cols>
  <sheetData>
    <row r="1" ht="22.5" customHeight="1">
      <c r="A1" s="10" t="s">
        <v>39</v>
      </c>
      <c r="B1" s="10" t="s">
        <v>40</v>
      </c>
      <c r="C1" s="10" t="s">
        <v>41</v>
      </c>
      <c r="D1" s="10" t="s">
        <v>42</v>
      </c>
    </row>
    <row r="2" ht="22.5" customHeight="1">
      <c r="A2" s="11">
        <v>46297.08172943287</v>
      </c>
      <c r="B2" s="12">
        <v>1234.0</v>
      </c>
      <c r="C2" s="12">
        <v>1234.0</v>
      </c>
      <c r="D2" s="12" t="s">
        <v>47</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sheetData>
    <row r="1">
      <c r="A1" s="4" t="str">
        <f>IFERROR(__xludf.DUMMYFUNCTION("FILTER(
  Email1r!A2:Z1000,
  MATCH(
    Email1r!C2:C1000&amp;""|""&amp;Email1r!D2:D1000,
    Email1r!C2:C1000&amp;""|""&amp;Email1r!D2:D1000,
    0
  )=SEQUENCE(ROWS(Email1r!C2:C1000))
)"),"")</f>
        <v/>
      </c>
      <c r="B1" s="6"/>
      <c r="C1" s="8"/>
      <c r="D1" s="8"/>
      <c r="E1" s="8"/>
      <c r="F1" s="8"/>
      <c r="G1" s="8"/>
      <c r="H1" s="8"/>
      <c r="I1" s="8"/>
      <c r="J1" s="8"/>
      <c r="K1" s="8"/>
    </row>
    <row r="2">
      <c r="A2" s="4">
        <f>IFERROR(__xludf.DUMMYFUNCTION("""COMPUTED_VALUE"""),46318.839244999996)</f>
        <v>46318.83925</v>
      </c>
      <c r="B2" s="6">
        <f>IFERROR(__xludf.DUMMYFUNCTION("""COMPUTED_VALUE"""),1.0)</f>
        <v>1</v>
      </c>
      <c r="C2" s="8">
        <f>IFERROR(__xludf.DUMMYFUNCTION("""COMPUTED_VALUE"""),1264.0)</f>
        <v>1264</v>
      </c>
      <c r="D2" s="8">
        <f>IFERROR(__xludf.DUMMYFUNCTION("""COMPUTED_VALUE"""),8746.0)</f>
        <v>8746</v>
      </c>
      <c r="E2" s="8" t="str">
        <f>IFERROR(__xludf.DUMMYFUNCTION("""COMPUTED_VALUE"""),"Email 4")</f>
        <v>Email 4</v>
      </c>
      <c r="F2" s="8"/>
      <c r="G2" s="8"/>
      <c r="H2" s="8"/>
      <c r="I2" s="8"/>
      <c r="J2" s="8"/>
      <c r="K2"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sheetData>
    <row r="1">
      <c r="A1" s="4" t="str">
        <f>IFERROR(__xludf.DUMMYFUNCTION("FILTER(
  Email2r!A2:Z1000,
  MATCH(
    Email2r!C2:C1000&amp;""|""&amp;Email2r!D2:D1000,
    Email2r!C2:C1000&amp;""|""&amp;Email2r!D2:D1000,
    0
  )=SEQUENCE(ROWS(Email2r!C2:C1000))
)"),"")</f>
        <v/>
      </c>
      <c r="B1" s="6"/>
      <c r="C1" s="8"/>
      <c r="D1" s="8"/>
      <c r="E1" s="8"/>
      <c r="F1" s="8"/>
      <c r="G1" s="8"/>
      <c r="H1" s="8"/>
      <c r="I1" s="8"/>
      <c r="J1" s="8"/>
      <c r="K1" s="8"/>
    </row>
    <row r="2">
      <c r="A2" s="4">
        <f>IFERROR(__xludf.DUMMYFUNCTION("""COMPUTED_VALUE"""),46318.85420663195)</f>
        <v>46318.85421</v>
      </c>
      <c r="B2" s="6">
        <f>IFERROR(__xludf.DUMMYFUNCTION("""COMPUTED_VALUE"""),1.0)</f>
        <v>1</v>
      </c>
      <c r="C2" s="8">
        <f>IFERROR(__xludf.DUMMYFUNCTION("""COMPUTED_VALUE"""),1264.0)</f>
        <v>1264</v>
      </c>
      <c r="D2" s="8">
        <f>IFERROR(__xludf.DUMMYFUNCTION("""COMPUTED_VALUE"""),8746.0)</f>
        <v>8746</v>
      </c>
      <c r="E2" s="8" t="str">
        <f>IFERROR(__xludf.DUMMYFUNCTION("""COMPUTED_VALUE"""),"Email 2")</f>
        <v>Email 2</v>
      </c>
      <c r="F2" s="8"/>
      <c r="G2" s="8"/>
      <c r="H2" s="8"/>
      <c r="I2" s="8"/>
      <c r="J2" s="8"/>
      <c r="K2" s="8"/>
    </row>
    <row r="3">
      <c r="A3" s="4">
        <f>IFERROR(__xludf.DUMMYFUNCTION("""COMPUTED_VALUE"""),46318.8543502199)</f>
        <v>46318.85435</v>
      </c>
      <c r="B3" s="6">
        <f>IFERROR(__xludf.DUMMYFUNCTION("""COMPUTED_VALUE"""),1.0)</f>
        <v>1</v>
      </c>
      <c r="C3" s="8">
        <f>IFERROR(__xludf.DUMMYFUNCTION("""COMPUTED_VALUE"""),1264.0)</f>
        <v>1264</v>
      </c>
      <c r="D3" s="8">
        <f>IFERROR(__xludf.DUMMYFUNCTION("""COMPUTED_VALUE"""),7298.0)</f>
        <v>7298</v>
      </c>
      <c r="E3" s="8" t="str">
        <f>IFERROR(__xludf.DUMMYFUNCTION("""COMPUTED_VALUE"""),"Email 2")</f>
        <v>Email 2</v>
      </c>
      <c r="F3" s="8"/>
      <c r="G3" s="8"/>
      <c r="H3" s="8"/>
      <c r="I3" s="8"/>
      <c r="J3" s="8"/>
      <c r="K3" s="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sheetData>
    <row r="1">
      <c r="A1" s="4" t="str">
        <f>IFERROR(__xludf.DUMMYFUNCTION("FILTER(
  Email3r!A2:Z1000,
  MATCH(
    Email3r!C2:C1000&amp;""|""&amp;Email3r!D2:D1000,
    Email3r!C2:C1000&amp;""|""&amp;Email3r!D2:D1000,
    0
  )=SEQUENCE(ROWS(Email3r!C2:C1000))
)"),"")</f>
        <v/>
      </c>
      <c r="B1" s="6"/>
      <c r="C1" s="8"/>
      <c r="D1" s="8"/>
      <c r="E1" s="8"/>
      <c r="F1" s="8"/>
      <c r="G1" s="8"/>
      <c r="H1" s="8"/>
      <c r="I1" s="8"/>
      <c r="J1" s="8"/>
      <c r="K1" s="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outlineLevelRow="1"/>
  <cols>
    <col customWidth="1" min="1" max="2" width="18.88"/>
    <col customWidth="1" min="3" max="3" width="31.13"/>
    <col customWidth="1" min="4" max="4" width="34.75"/>
    <col customWidth="1" min="5" max="11" width="18.88"/>
  </cols>
  <sheetData>
    <row r="1" ht="22.5" customHeight="1">
      <c r="A1" s="10" t="s">
        <v>39</v>
      </c>
      <c r="B1" s="10" t="s">
        <v>79</v>
      </c>
      <c r="C1" s="10" t="s">
        <v>80</v>
      </c>
      <c r="D1" s="10" t="s">
        <v>81</v>
      </c>
      <c r="E1" s="14" t="s">
        <v>82</v>
      </c>
    </row>
    <row r="2" ht="22.5" customHeight="1">
      <c r="A2" s="11"/>
      <c r="B2" s="15"/>
      <c r="C2" s="12"/>
      <c r="D2" s="12"/>
      <c r="E2" s="12"/>
    </row>
    <row r="3" ht="22.5" customHeight="1">
      <c r="A3" s="16"/>
      <c r="B3" s="17"/>
    </row>
    <row r="4" ht="22.5" customHeight="1">
      <c r="A4" s="16"/>
      <c r="B4" s="17"/>
    </row>
    <row r="5" ht="22.5" customHeight="1">
      <c r="A5" s="16"/>
      <c r="B5" s="17"/>
    </row>
    <row r="6" ht="22.5" customHeight="1">
      <c r="A6" s="16"/>
      <c r="B6" s="17"/>
    </row>
    <row r="7" ht="22.5" customHeight="1">
      <c r="A7" s="16"/>
      <c r="B7" s="17"/>
    </row>
    <row r="8" ht="22.5" customHeight="1">
      <c r="A8" s="16"/>
      <c r="B8" s="17"/>
    </row>
    <row r="9" ht="22.5" customHeight="1">
      <c r="A9" s="16"/>
      <c r="B9" s="17"/>
    </row>
    <row r="10" ht="22.5" customHeight="1">
      <c r="A10" s="16"/>
      <c r="B10" s="17"/>
    </row>
    <row r="11" ht="22.5" customHeight="1">
      <c r="A11" s="16"/>
      <c r="B11" s="17"/>
    </row>
    <row r="12" ht="22.5" customHeight="1">
      <c r="A12" s="16"/>
      <c r="B12" s="17"/>
    </row>
    <row r="13" ht="22.5" customHeight="1">
      <c r="A13" s="16"/>
      <c r="B13" s="17"/>
    </row>
    <row r="14" ht="22.5" customHeight="1">
      <c r="A14" s="16"/>
      <c r="B14" s="17"/>
    </row>
    <row r="15" ht="22.5" customHeight="1">
      <c r="A15" s="16"/>
      <c r="B15" s="17"/>
    </row>
    <row r="16" ht="22.5" customHeight="1">
      <c r="A16" s="16"/>
      <c r="B16" s="17"/>
    </row>
    <row r="17" ht="22.5" customHeight="1">
      <c r="A17" s="16"/>
      <c r="B17" s="17"/>
    </row>
    <row r="18" ht="22.5" customHeight="1">
      <c r="A18" s="16"/>
      <c r="B18" s="17"/>
    </row>
    <row r="19" ht="22.5" customHeight="1">
      <c r="A19" s="16">
        <v>46318.839244999996</v>
      </c>
      <c r="B19" s="17">
        <v>1.0</v>
      </c>
      <c r="C19" s="18">
        <v>1264.0</v>
      </c>
      <c r="D19" s="18">
        <v>8746.0</v>
      </c>
      <c r="E19" s="18" t="s">
        <v>85</v>
      </c>
    </row>
    <row r="20" ht="22.5" customHeight="1">
      <c r="A20" s="11"/>
      <c r="B20" s="15"/>
      <c r="C20" s="12"/>
      <c r="D20" s="12"/>
      <c r="E20" s="12"/>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outlineLevelRow="1"/>
  <cols>
    <col customWidth="1" min="1" max="2" width="18.88"/>
    <col customWidth="1" min="3" max="3" width="31.13"/>
    <col customWidth="1" min="4" max="4" width="34.75"/>
    <col customWidth="1" min="5" max="5" width="37.63"/>
    <col customWidth="1" min="6" max="11" width="18.88"/>
  </cols>
  <sheetData>
    <row r="1" ht="306.75" customHeight="1">
      <c r="A1" s="10" t="s">
        <v>39</v>
      </c>
      <c r="B1" s="10" t="s">
        <v>79</v>
      </c>
      <c r="C1" s="10" t="s">
        <v>80</v>
      </c>
      <c r="D1" s="10" t="s">
        <v>81</v>
      </c>
      <c r="E1" s="14" t="s">
        <v>83</v>
      </c>
    </row>
    <row r="2" ht="22.5" customHeight="1">
      <c r="A2" s="11"/>
      <c r="B2" s="15"/>
      <c r="C2" s="12"/>
      <c r="D2" s="12"/>
      <c r="E2" s="12"/>
    </row>
    <row r="3" ht="22.5" customHeight="1">
      <c r="A3" s="16"/>
      <c r="B3" s="17"/>
    </row>
    <row r="4" ht="22.5" customHeight="1">
      <c r="A4" s="16"/>
      <c r="B4" s="17"/>
    </row>
    <row r="5" ht="22.5" customHeight="1">
      <c r="A5" s="16"/>
      <c r="B5" s="17"/>
    </row>
    <row r="6" ht="22.5" customHeight="1">
      <c r="A6" s="16"/>
      <c r="B6" s="17"/>
    </row>
    <row r="7" ht="22.5" customHeight="1">
      <c r="A7" s="16"/>
      <c r="B7" s="17"/>
    </row>
    <row r="8" ht="22.5" customHeight="1">
      <c r="A8" s="16"/>
      <c r="B8" s="17"/>
    </row>
    <row r="9" ht="22.5" customHeight="1">
      <c r="A9" s="16"/>
      <c r="B9" s="17"/>
    </row>
    <row r="10" ht="22.5" customHeight="1">
      <c r="A10" s="16">
        <v>46318.85420663195</v>
      </c>
      <c r="B10" s="17">
        <v>1.0</v>
      </c>
      <c r="C10" s="18">
        <v>1264.0</v>
      </c>
      <c r="D10" s="18">
        <v>8746.0</v>
      </c>
      <c r="E10" s="18" t="s">
        <v>84</v>
      </c>
    </row>
    <row r="11" ht="22.5" customHeight="1">
      <c r="A11" s="16">
        <v>46318.8543502199</v>
      </c>
      <c r="B11" s="17">
        <v>1.0</v>
      </c>
      <c r="C11" s="18">
        <v>1264.0</v>
      </c>
      <c r="D11" s="18">
        <v>7298.0</v>
      </c>
      <c r="E11" s="18" t="s">
        <v>84</v>
      </c>
    </row>
    <row r="13" ht="31.5" customHeight="1"/>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outlineLevelRow="1"/>
  <cols>
    <col customWidth="1" min="1" max="2" width="18.88"/>
    <col customWidth="1" min="3" max="3" width="31.13"/>
    <col customWidth="1" min="4" max="4" width="34.75"/>
    <col customWidth="1" min="5" max="5" width="37.63"/>
    <col customWidth="1" min="6" max="11" width="18.88"/>
  </cols>
  <sheetData>
    <row r="1" ht="22.5" customHeight="1">
      <c r="A1" s="10" t="s">
        <v>39</v>
      </c>
      <c r="B1" s="10" t="s">
        <v>79</v>
      </c>
      <c r="C1" s="10" t="s">
        <v>86</v>
      </c>
      <c r="D1" s="10" t="s">
        <v>87</v>
      </c>
      <c r="E1" s="14" t="s">
        <v>88</v>
      </c>
    </row>
    <row r="2" ht="22.5" customHeight="1">
      <c r="A2" s="11"/>
      <c r="B2" s="15"/>
      <c r="C2" s="12"/>
      <c r="D2" s="12"/>
      <c r="E2" s="12"/>
    </row>
    <row r="3" ht="22.5" customHeight="1">
      <c r="A3" s="16"/>
      <c r="B3" s="17"/>
    </row>
    <row r="4" ht="22.5" customHeight="1">
      <c r="A4" s="16"/>
      <c r="B4" s="17"/>
    </row>
    <row r="5" ht="22.5" customHeight="1">
      <c r="A5" s="16"/>
      <c r="B5" s="17"/>
    </row>
    <row r="6" ht="22.5" customHeight="1">
      <c r="A6" s="16"/>
      <c r="B6" s="17"/>
    </row>
    <row r="7" ht="22.5" customHeight="1">
      <c r="A7" s="16"/>
      <c r="B7" s="17"/>
    </row>
  </sheetData>
  <drawing r:id="rId1"/>
  <tableParts count="1">
    <tablePart r:id="rId3"/>
  </tableParts>
</worksheet>
</file>